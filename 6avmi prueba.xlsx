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os\Aplicación\"/>
    </mc:Choice>
  </mc:AlternateContent>
  <xr:revisionPtr revIDLastSave="0" documentId="13_ncr:1_{E6041979-E3DE-4ED5-AABC-14F234A7F6A8}" xr6:coauthVersionLast="47" xr6:coauthVersionMax="47" xr10:uidLastSave="{00000000-0000-0000-0000-000000000000}"/>
  <bookViews>
    <workbookView xWindow="-108" yWindow="-108" windowWidth="23256" windowHeight="12456" firstSheet="1" activeTab="1" xr2:uid="{860D9088-AF40-430A-BF27-1EC4C3DD7AE8}"/>
  </bookViews>
  <sheets>
    <sheet name="examen" sheetId="22" r:id="rId1"/>
    <sheet name="Tarea 1" sheetId="19" r:id="rId2"/>
    <sheet name="Tarea 2" sheetId="17" r:id="rId3"/>
    <sheet name="Tarea 3" sheetId="12" r:id="rId4"/>
    <sheet name="Tarea 4" sheetId="9" r:id="rId5"/>
    <sheet name="lista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10" i="9"/>
  <c r="C10" i="9" s="1"/>
  <c r="D11" i="9"/>
  <c r="C11" i="9" s="1"/>
  <c r="D12" i="9"/>
  <c r="C12" i="9" s="1"/>
  <c r="D13" i="9"/>
  <c r="C13" i="9" s="1"/>
  <c r="D14" i="9"/>
  <c r="C14" i="9" s="1"/>
  <c r="D15" i="9"/>
  <c r="D16" i="9"/>
  <c r="D17" i="9"/>
  <c r="D18" i="9"/>
  <c r="D19" i="9"/>
  <c r="D20" i="9"/>
  <c r="D21" i="9"/>
  <c r="D22" i="9"/>
  <c r="C22" i="9" s="1"/>
  <c r="D23" i="9"/>
  <c r="C23" i="9" s="1"/>
  <c r="D24" i="9"/>
  <c r="C24" i="9" s="1"/>
  <c r="D25" i="9"/>
  <c r="C25" i="9" s="1"/>
  <c r="D26" i="9"/>
  <c r="D27" i="9"/>
  <c r="D28" i="9"/>
  <c r="D29" i="9"/>
  <c r="D30" i="9"/>
  <c r="D31" i="9"/>
  <c r="D32" i="9"/>
  <c r="D33" i="9"/>
  <c r="D34" i="9"/>
  <c r="C34" i="9" s="1"/>
  <c r="D35" i="9"/>
  <c r="C35" i="9" s="1"/>
  <c r="D36" i="9"/>
  <c r="C36" i="9" s="1"/>
  <c r="D37" i="9"/>
  <c r="C37" i="9" s="1"/>
  <c r="D2" i="9"/>
  <c r="D3" i="12"/>
  <c r="D4" i="12"/>
  <c r="D5" i="12"/>
  <c r="D6" i="12"/>
  <c r="D7" i="12"/>
  <c r="D8" i="12"/>
  <c r="D9" i="12"/>
  <c r="D10" i="12"/>
  <c r="D11" i="12"/>
  <c r="D12" i="12"/>
  <c r="C12" i="12" s="1"/>
  <c r="D13" i="12"/>
  <c r="C13" i="12" s="1"/>
  <c r="D14" i="12"/>
  <c r="C14" i="12" s="1"/>
  <c r="D15" i="12"/>
  <c r="D16" i="12"/>
  <c r="D17" i="12"/>
  <c r="D18" i="12"/>
  <c r="D19" i="12"/>
  <c r="D20" i="12"/>
  <c r="D21" i="12"/>
  <c r="D22" i="12"/>
  <c r="D23" i="12"/>
  <c r="D24" i="12"/>
  <c r="D25" i="12"/>
  <c r="C25" i="12" s="1"/>
  <c r="D26" i="12"/>
  <c r="C26" i="12" s="1"/>
  <c r="D27" i="12"/>
  <c r="D28" i="12"/>
  <c r="D29" i="12"/>
  <c r="D30" i="12"/>
  <c r="D31" i="12"/>
  <c r="D32" i="12"/>
  <c r="D33" i="12"/>
  <c r="D34" i="12"/>
  <c r="D35" i="12"/>
  <c r="D36" i="12"/>
  <c r="D37" i="12"/>
  <c r="C37" i="12" s="1"/>
  <c r="D2" i="12"/>
  <c r="C2" i="12" s="1"/>
  <c r="D3" i="17"/>
  <c r="D4" i="17"/>
  <c r="D5" i="17"/>
  <c r="C5" i="17" s="1"/>
  <c r="D6" i="17"/>
  <c r="D7" i="17"/>
  <c r="C7" i="17" s="1"/>
  <c r="D8" i="17"/>
  <c r="C8" i="17" s="1"/>
  <c r="D9" i="17"/>
  <c r="C9" i="17" s="1"/>
  <c r="D10" i="17"/>
  <c r="C10" i="17" s="1"/>
  <c r="D11" i="17"/>
  <c r="C11" i="17" s="1"/>
  <c r="D12" i="17"/>
  <c r="C12" i="17" s="1"/>
  <c r="D13" i="17"/>
  <c r="C13" i="17" s="1"/>
  <c r="D14" i="17"/>
  <c r="C14" i="17" s="1"/>
  <c r="D15" i="17"/>
  <c r="D16" i="17"/>
  <c r="D17" i="17"/>
  <c r="D18" i="17"/>
  <c r="D19" i="17"/>
  <c r="D20" i="17"/>
  <c r="C20" i="17" s="1"/>
  <c r="D21" i="17"/>
  <c r="C21" i="17" s="1"/>
  <c r="D22" i="17"/>
  <c r="C22" i="17" s="1"/>
  <c r="D23" i="17"/>
  <c r="C23" i="17" s="1"/>
  <c r="D24" i="17"/>
  <c r="C24" i="17" s="1"/>
  <c r="D25" i="17"/>
  <c r="C25" i="17" s="1"/>
  <c r="D26" i="17"/>
  <c r="C26" i="17" s="1"/>
  <c r="D27" i="17"/>
  <c r="D28" i="17"/>
  <c r="D29" i="17"/>
  <c r="D30" i="17"/>
  <c r="D31" i="17"/>
  <c r="C31" i="17" s="1"/>
  <c r="D32" i="17"/>
  <c r="D33" i="17"/>
  <c r="C33" i="17" s="1"/>
  <c r="D34" i="17"/>
  <c r="C34" i="17" s="1"/>
  <c r="D35" i="17"/>
  <c r="C35" i="17" s="1"/>
  <c r="D36" i="17"/>
  <c r="C36" i="17" s="1"/>
  <c r="D37" i="17"/>
  <c r="D2" i="17"/>
  <c r="C2" i="17" s="1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2" i="19"/>
  <c r="C33" i="9"/>
  <c r="C32" i="9"/>
  <c r="C31" i="9"/>
  <c r="C30" i="9"/>
  <c r="C29" i="9"/>
  <c r="C28" i="9"/>
  <c r="C27" i="9"/>
  <c r="C26" i="9"/>
  <c r="C21" i="9"/>
  <c r="C20" i="9"/>
  <c r="C19" i="9"/>
  <c r="C18" i="9"/>
  <c r="C17" i="9"/>
  <c r="C16" i="9"/>
  <c r="C15" i="9"/>
  <c r="C9" i="9"/>
  <c r="C8" i="9"/>
  <c r="C7" i="9"/>
  <c r="C6" i="9"/>
  <c r="C5" i="9"/>
  <c r="C4" i="9"/>
  <c r="C3" i="9"/>
  <c r="C2" i="9"/>
  <c r="C36" i="12"/>
  <c r="C35" i="12"/>
  <c r="C34" i="12"/>
  <c r="C33" i="12"/>
  <c r="C32" i="12"/>
  <c r="C31" i="12"/>
  <c r="C30" i="12"/>
  <c r="C29" i="12"/>
  <c r="C28" i="12"/>
  <c r="C27" i="12"/>
  <c r="C24" i="12"/>
  <c r="C23" i="12"/>
  <c r="C22" i="12"/>
  <c r="C21" i="12"/>
  <c r="C20" i="12"/>
  <c r="C19" i="12"/>
  <c r="C18" i="12"/>
  <c r="C17" i="12"/>
  <c r="C16" i="12"/>
  <c r="C15" i="12"/>
  <c r="C11" i="12"/>
  <c r="C10" i="12"/>
  <c r="C9" i="12"/>
  <c r="C8" i="12"/>
  <c r="C7" i="12"/>
  <c r="C6" i="12"/>
  <c r="C5" i="12"/>
  <c r="C4" i="12"/>
  <c r="C3" i="12"/>
  <c r="C37" i="17"/>
  <c r="C32" i="17"/>
  <c r="C30" i="17"/>
  <c r="C29" i="17"/>
  <c r="C28" i="17"/>
  <c r="C27" i="17"/>
  <c r="C19" i="17"/>
  <c r="C18" i="17"/>
  <c r="C17" i="17"/>
  <c r="C16" i="17"/>
  <c r="C15" i="17"/>
  <c r="C6" i="17"/>
  <c r="C4" i="17"/>
  <c r="C3" i="17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2" i="1"/>
  <c r="I2" i="1"/>
  <c r="C37" i="22" l="1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8" i="22"/>
  <c r="C7" i="22"/>
  <c r="C6" i="22"/>
  <c r="C5" i="22"/>
  <c r="C4" i="22"/>
  <c r="C3" i="22"/>
  <c r="C2" i="22"/>
  <c r="C3" i="19"/>
  <c r="C37" i="19" l="1"/>
  <c r="C34" i="19"/>
  <c r="C33" i="19"/>
  <c r="C32" i="19"/>
  <c r="C29" i="19"/>
  <c r="C28" i="19"/>
  <c r="C26" i="19"/>
  <c r="C25" i="19"/>
  <c r="C22" i="19"/>
  <c r="C19" i="19"/>
  <c r="C17" i="19"/>
  <c r="C13" i="19"/>
  <c r="C11" i="19"/>
  <c r="C10" i="19"/>
  <c r="C8" i="19"/>
  <c r="C7" i="19"/>
  <c r="C4" i="19"/>
  <c r="C2" i="19"/>
  <c r="C16" i="19" l="1"/>
  <c r="C18" i="19"/>
  <c r="C30" i="19"/>
  <c r="C14" i="19"/>
  <c r="C15" i="19"/>
  <c r="C31" i="19"/>
  <c r="C6" i="19"/>
  <c r="C23" i="19"/>
  <c r="C35" i="19"/>
  <c r="C5" i="19"/>
  <c r="C36" i="19"/>
  <c r="C27" i="19"/>
  <c r="C20" i="19"/>
  <c r="C9" i="19"/>
  <c r="C21" i="19"/>
  <c r="C12" i="19"/>
  <c r="C24" i="19"/>
  <c r="G26" i="1"/>
  <c r="G2" i="1"/>
  <c r="G22" i="1"/>
  <c r="G25" i="1"/>
  <c r="G11" i="1"/>
  <c r="G14" i="1"/>
  <c r="G13" i="1"/>
  <c r="G24" i="1"/>
  <c r="G35" i="1"/>
  <c r="G34" i="1"/>
  <c r="G12" i="1"/>
  <c r="G23" i="1"/>
  <c r="G6" i="1"/>
  <c r="G33" i="1"/>
  <c r="G20" i="1"/>
  <c r="G8" i="1"/>
  <c r="G18" i="1"/>
  <c r="G29" i="1"/>
  <c r="G17" i="1"/>
  <c r="G5" i="1"/>
  <c r="G21" i="1"/>
  <c r="G32" i="1"/>
  <c r="G31" i="1"/>
  <c r="G30" i="1"/>
  <c r="G28" i="1"/>
  <c r="G16" i="1"/>
  <c r="G4" i="1"/>
  <c r="G10" i="1"/>
  <c r="G9" i="1"/>
  <c r="G19" i="1"/>
  <c r="G7" i="1"/>
  <c r="G27" i="1"/>
  <c r="G15" i="1"/>
  <c r="G3" i="1"/>
</calcChain>
</file>

<file path=xl/sharedStrings.xml><?xml version="1.0" encoding="utf-8"?>
<sst xmlns="http://schemas.openxmlformats.org/spreadsheetml/2006/main" count="585" uniqueCount="101">
  <si>
    <t>numero</t>
  </si>
  <si>
    <t>nombre</t>
  </si>
  <si>
    <t>CUENTENCO LOPEZ URIEL</t>
  </si>
  <si>
    <t>FLORES GONZALEZ KEVIN DAVID</t>
  </si>
  <si>
    <t>MORA ACAMETITLA JULIO YAIR</t>
  </si>
  <si>
    <t>ROJAS GARCIA LEONARDO</t>
  </si>
  <si>
    <t>TEJOCOTE GARCIA  DAVID</t>
  </si>
  <si>
    <t>BELLO RAMIREZ LEONEL ALEJANDRO</t>
  </si>
  <si>
    <t>JUAREZ TEPEPA DANIEL JACINTO</t>
  </si>
  <si>
    <t>SANCHEZ CALVARIO YONI  JOSUE</t>
  </si>
  <si>
    <t>MENDEZ FLORES ANGEL GABRIEL</t>
  </si>
  <si>
    <t>REYES LARINO MAYTE</t>
  </si>
  <si>
    <t>ZEPEDA ARCE JONATHAN URIEL</t>
  </si>
  <si>
    <t>DURAN ROMERO MAURICIO</t>
  </si>
  <si>
    <t>TABA CAPILLA ZOE RONALDO</t>
  </si>
  <si>
    <t>TECHALOTZI CANTOR MIGUEL ANGEL</t>
  </si>
  <si>
    <t xml:space="preserve">SALAS MONARCA LEONEL </t>
  </si>
  <si>
    <t>GARCIA CARAZO SANTIAGO</t>
  </si>
  <si>
    <t>XIMELLO ZAMBRANO RAUL</t>
  </si>
  <si>
    <t>AMADOR AMADOR LUIS</t>
  </si>
  <si>
    <t>VAZQUEZ CARRILLO JOSE PABLO</t>
  </si>
  <si>
    <t>DIEGO AMARO BRANDON ELLIOT</t>
  </si>
  <si>
    <t>GOMEZ CASIANO CRISTHOFER</t>
  </si>
  <si>
    <t>TLAPAYA TLATELPA BRAYAN ALEXIS</t>
  </si>
  <si>
    <t>MELENDEZ MARTINEZ HUGO</t>
  </si>
  <si>
    <t>LARA CONTRERAS ARELI</t>
  </si>
  <si>
    <t>CONTRERAS GUZMAN MELANIE    C</t>
  </si>
  <si>
    <t>RAMIREZ DE LOS SANTOS LETICIA</t>
  </si>
  <si>
    <t xml:space="preserve">MASTRANZO ROQUE MARASOFIA YURICO </t>
  </si>
  <si>
    <t>CORONA CALVARIO CESAR</t>
  </si>
  <si>
    <t>CALVARIO TEZMOL RODRIGO</t>
  </si>
  <si>
    <t>RIZO GALLEGOS UZAI ZABDIEL</t>
  </si>
  <si>
    <t>TECHALOTZI ROJAS DAVID</t>
  </si>
  <si>
    <t>Equipo 1</t>
  </si>
  <si>
    <t>Equipo 2</t>
  </si>
  <si>
    <t>Equipo 3</t>
  </si>
  <si>
    <t>Equipo 4</t>
  </si>
  <si>
    <t>Equipo 5</t>
  </si>
  <si>
    <t>luis</t>
  </si>
  <si>
    <t>Daniel</t>
  </si>
  <si>
    <t>Areli</t>
  </si>
  <si>
    <t>tejocote</t>
  </si>
  <si>
    <t>Equipo 6</t>
  </si>
  <si>
    <t>Equipo 7</t>
  </si>
  <si>
    <t>Equipo 8</t>
  </si>
  <si>
    <t>Equipo 9</t>
  </si>
  <si>
    <t>Equipo 10</t>
  </si>
  <si>
    <t>Angel</t>
  </si>
  <si>
    <t>Dilan</t>
  </si>
  <si>
    <t>Mayte</t>
  </si>
  <si>
    <t>Pablo</t>
  </si>
  <si>
    <t>kevin</t>
  </si>
  <si>
    <t>Raul</t>
  </si>
  <si>
    <t>David</t>
  </si>
  <si>
    <t>Brandon</t>
  </si>
  <si>
    <t>Alexis</t>
  </si>
  <si>
    <t>COYOTL GALINDO JUAN PABLO</t>
  </si>
  <si>
    <t>HUERTA ROMERO JOEL</t>
  </si>
  <si>
    <t>JUAREZ MARCELINO MONTSERRAT</t>
  </si>
  <si>
    <t>TLATELPA ROMERO MARÍA MERCEDES</t>
  </si>
  <si>
    <t>YEHUELA ROMERO DILAN NERY</t>
  </si>
  <si>
    <t>leo</t>
  </si>
  <si>
    <t>rodrigo</t>
  </si>
  <si>
    <t>cesar</t>
  </si>
  <si>
    <t>Yurico</t>
  </si>
  <si>
    <t>johnatan</t>
  </si>
  <si>
    <t>pablo</t>
  </si>
  <si>
    <t>lety</t>
  </si>
  <si>
    <t>Cristhofer</t>
  </si>
  <si>
    <t>Uriel</t>
  </si>
  <si>
    <t>Santiago</t>
  </si>
  <si>
    <t>Joel</t>
  </si>
  <si>
    <t xml:space="preserve">Hugo </t>
  </si>
  <si>
    <t>Miguel</t>
  </si>
  <si>
    <t>Zabdiel</t>
  </si>
  <si>
    <t>julio</t>
  </si>
  <si>
    <t>montse</t>
  </si>
  <si>
    <t>mari</t>
  </si>
  <si>
    <t>Melanie</t>
  </si>
  <si>
    <t>Equipo 11</t>
  </si>
  <si>
    <t xml:space="preserve">digital </t>
  </si>
  <si>
    <t>digital</t>
  </si>
  <si>
    <t>digital 0</t>
  </si>
  <si>
    <t>leonel</t>
  </si>
  <si>
    <t>yoni</t>
  </si>
  <si>
    <t>22 de mayo</t>
  </si>
  <si>
    <t>29 de mayo</t>
  </si>
  <si>
    <t>1 de junio</t>
  </si>
  <si>
    <t>8 de junio</t>
  </si>
  <si>
    <t>id_alumno</t>
  </si>
  <si>
    <t>estado</t>
  </si>
  <si>
    <t>calificacion</t>
  </si>
  <si>
    <t>fecha_limite</t>
  </si>
  <si>
    <t>tarea</t>
  </si>
  <si>
    <t>Tarea 1</t>
  </si>
  <si>
    <t>Tarea 2</t>
  </si>
  <si>
    <t>Tarea 3</t>
  </si>
  <si>
    <t>Tarea 4</t>
  </si>
  <si>
    <t>Faltas</t>
  </si>
  <si>
    <t>Asistencias</t>
  </si>
  <si>
    <t>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</si>
</sst>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 applyFill="1"/>
    <xf numFmtId="9" fontId="0" fillId="0" borderId="0" xfId="0" applyNumberFormat="1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2B2B9-12BD-491A-9C83-849B038F9FA5}">
  <dimension ref="A1:M37"/>
  <sheetViews>
    <sheetView workbookViewId="0">
      <selection activeCell="M11" sqref="M11"/>
    </sheetView>
  </sheetViews>
  <sheetFormatPr baseColWidth="10" defaultRowHeight="14.4" x14ac:dyDescent="0.3"/>
  <cols>
    <col min="2" max="2" width="49.88671875" customWidth="1"/>
  </cols>
  <sheetData>
    <row r="1" spans="1:13" x14ac:dyDescent="0.3">
      <c r="A1" t="s">
        <v>0</v>
      </c>
      <c r="B1" t="s">
        <v>1</v>
      </c>
    </row>
    <row r="2" spans="1:13" x14ac:dyDescent="0.3">
      <c r="A2">
        <v>1</v>
      </c>
      <c r="B2" t="s">
        <v>19</v>
      </c>
      <c r="C2">
        <f>E3</f>
        <v>0</v>
      </c>
      <c r="D2" t="s">
        <v>33</v>
      </c>
      <c r="F2" t="s">
        <v>34</v>
      </c>
      <c r="H2" t="s">
        <v>35</v>
      </c>
      <c r="J2" t="s">
        <v>36</v>
      </c>
      <c r="L2" t="s">
        <v>37</v>
      </c>
    </row>
    <row r="3" spans="1:13" x14ac:dyDescent="0.3">
      <c r="A3">
        <v>2</v>
      </c>
      <c r="B3" t="s">
        <v>7</v>
      </c>
      <c r="C3">
        <f>G3</f>
        <v>0</v>
      </c>
      <c r="D3" s="5" t="s">
        <v>38</v>
      </c>
      <c r="F3" s="5" t="s">
        <v>61</v>
      </c>
      <c r="H3" s="5" t="s">
        <v>62</v>
      </c>
      <c r="I3">
        <v>10</v>
      </c>
      <c r="L3" s="5" t="s">
        <v>64</v>
      </c>
    </row>
    <row r="4" spans="1:13" x14ac:dyDescent="0.3">
      <c r="A4">
        <v>3</v>
      </c>
      <c r="B4" t="s">
        <v>30</v>
      </c>
      <c r="C4">
        <f>I3</f>
        <v>10</v>
      </c>
      <c r="D4" t="s">
        <v>61</v>
      </c>
      <c r="F4" s="5" t="s">
        <v>39</v>
      </c>
      <c r="H4" s="5" t="s">
        <v>63</v>
      </c>
      <c r="I4">
        <v>10</v>
      </c>
      <c r="L4" s="5" t="s">
        <v>67</v>
      </c>
    </row>
    <row r="5" spans="1:13" x14ac:dyDescent="0.3">
      <c r="A5">
        <v>4</v>
      </c>
      <c r="B5" t="s">
        <v>26</v>
      </c>
      <c r="C5">
        <f>I13</f>
        <v>0</v>
      </c>
      <c r="D5" t="s">
        <v>65</v>
      </c>
      <c r="F5" s="5" t="s">
        <v>41</v>
      </c>
      <c r="H5" s="5" t="s">
        <v>66</v>
      </c>
      <c r="I5">
        <v>10</v>
      </c>
      <c r="L5" t="s">
        <v>68</v>
      </c>
    </row>
    <row r="6" spans="1:13" x14ac:dyDescent="0.3">
      <c r="A6">
        <v>5</v>
      </c>
      <c r="B6" t="s">
        <v>29</v>
      </c>
      <c r="C6">
        <f>I4</f>
        <v>10</v>
      </c>
      <c r="D6" t="s">
        <v>50</v>
      </c>
    </row>
    <row r="7" spans="1:13" x14ac:dyDescent="0.3">
      <c r="A7">
        <v>6</v>
      </c>
      <c r="B7" t="s">
        <v>56</v>
      </c>
      <c r="C7">
        <f>I5</f>
        <v>10</v>
      </c>
      <c r="L7" t="s">
        <v>80</v>
      </c>
    </row>
    <row r="8" spans="1:13" x14ac:dyDescent="0.3">
      <c r="A8">
        <v>7</v>
      </c>
      <c r="B8" t="s">
        <v>2</v>
      </c>
      <c r="C8">
        <f>M9</f>
        <v>0</v>
      </c>
      <c r="D8" t="s">
        <v>42</v>
      </c>
      <c r="F8" t="s">
        <v>43</v>
      </c>
      <c r="H8" t="s">
        <v>44</v>
      </c>
      <c r="J8" t="s">
        <v>45</v>
      </c>
      <c r="L8" t="s">
        <v>46</v>
      </c>
    </row>
    <row r="9" spans="1:13" x14ac:dyDescent="0.3">
      <c r="A9">
        <v>8</v>
      </c>
      <c r="B9" t="s">
        <v>21</v>
      </c>
      <c r="C9">
        <f>E15</f>
        <v>0</v>
      </c>
      <c r="D9" s="5" t="s">
        <v>70</v>
      </c>
      <c r="E9" s="5">
        <v>10</v>
      </c>
      <c r="F9" t="s">
        <v>71</v>
      </c>
      <c r="H9" t="s">
        <v>40</v>
      </c>
      <c r="J9" t="s">
        <v>73</v>
      </c>
      <c r="K9">
        <v>8</v>
      </c>
      <c r="L9" t="s">
        <v>69</v>
      </c>
    </row>
    <row r="10" spans="1:13" x14ac:dyDescent="0.3">
      <c r="A10">
        <v>9</v>
      </c>
      <c r="B10" t="s">
        <v>13</v>
      </c>
      <c r="C10">
        <f>K3</f>
        <v>0</v>
      </c>
      <c r="D10" s="5" t="s">
        <v>53</v>
      </c>
      <c r="E10" s="5">
        <v>10</v>
      </c>
      <c r="F10" t="s">
        <v>48</v>
      </c>
      <c r="H10" t="s">
        <v>72</v>
      </c>
      <c r="J10" t="s">
        <v>76</v>
      </c>
      <c r="K10">
        <v>10</v>
      </c>
      <c r="L10" t="s">
        <v>51</v>
      </c>
      <c r="M10">
        <v>3.5</v>
      </c>
    </row>
    <row r="11" spans="1:13" x14ac:dyDescent="0.3">
      <c r="A11">
        <v>10</v>
      </c>
      <c r="B11" t="s">
        <v>3</v>
      </c>
      <c r="C11">
        <f>M10</f>
        <v>3.5</v>
      </c>
      <c r="D11" s="5" t="s">
        <v>74</v>
      </c>
      <c r="E11" s="5">
        <v>10</v>
      </c>
      <c r="F11" t="s">
        <v>75</v>
      </c>
      <c r="H11" t="s">
        <v>55</v>
      </c>
      <c r="J11" t="s">
        <v>49</v>
      </c>
      <c r="K11">
        <v>10</v>
      </c>
    </row>
    <row r="12" spans="1:13" x14ac:dyDescent="0.3">
      <c r="A12">
        <v>11</v>
      </c>
      <c r="B12" t="s">
        <v>17</v>
      </c>
      <c r="C12">
        <f>E9</f>
        <v>10</v>
      </c>
      <c r="D12" s="5" t="s">
        <v>52</v>
      </c>
      <c r="E12" s="5">
        <v>10</v>
      </c>
      <c r="F12" t="s">
        <v>77</v>
      </c>
      <c r="H12" t="s">
        <v>47</v>
      </c>
    </row>
    <row r="13" spans="1:13" x14ac:dyDescent="0.3">
      <c r="A13">
        <v>12</v>
      </c>
      <c r="B13" t="s">
        <v>22</v>
      </c>
      <c r="C13">
        <f>M5</f>
        <v>0</v>
      </c>
      <c r="F13" t="s">
        <v>81</v>
      </c>
      <c r="H13" t="s">
        <v>78</v>
      </c>
    </row>
    <row r="14" spans="1:13" x14ac:dyDescent="0.3">
      <c r="A14">
        <v>13</v>
      </c>
      <c r="B14" t="s">
        <v>57</v>
      </c>
      <c r="C14">
        <f>G9</f>
        <v>0</v>
      </c>
      <c r="D14" t="s">
        <v>79</v>
      </c>
      <c r="H14" t="s">
        <v>82</v>
      </c>
    </row>
    <row r="15" spans="1:13" x14ac:dyDescent="0.3">
      <c r="A15">
        <v>14</v>
      </c>
      <c r="B15" t="s">
        <v>58</v>
      </c>
      <c r="C15">
        <f>K10</f>
        <v>10</v>
      </c>
      <c r="D15" t="s">
        <v>54</v>
      </c>
      <c r="E15" s="5"/>
    </row>
    <row r="16" spans="1:13" x14ac:dyDescent="0.3">
      <c r="A16">
        <v>15</v>
      </c>
      <c r="B16" t="s">
        <v>8</v>
      </c>
      <c r="C16">
        <f>G4</f>
        <v>0</v>
      </c>
      <c r="D16" t="s">
        <v>83</v>
      </c>
    </row>
    <row r="17" spans="1:4" x14ac:dyDescent="0.3">
      <c r="A17">
        <v>16</v>
      </c>
      <c r="B17" t="s">
        <v>25</v>
      </c>
      <c r="C17">
        <f>I9</f>
        <v>0</v>
      </c>
      <c r="D17" t="s">
        <v>84</v>
      </c>
    </row>
    <row r="18" spans="1:4" x14ac:dyDescent="0.3">
      <c r="A18">
        <v>17</v>
      </c>
      <c r="B18" t="s">
        <v>28</v>
      </c>
      <c r="C18">
        <f>M3</f>
        <v>0</v>
      </c>
    </row>
    <row r="19" spans="1:4" x14ac:dyDescent="0.3">
      <c r="A19">
        <v>18</v>
      </c>
      <c r="B19" t="s">
        <v>24</v>
      </c>
      <c r="C19">
        <f>I10</f>
        <v>0</v>
      </c>
    </row>
    <row r="20" spans="1:4" s="4" customFormat="1" x14ac:dyDescent="0.3">
      <c r="A20">
        <v>19</v>
      </c>
      <c r="B20" t="s">
        <v>10</v>
      </c>
      <c r="C20">
        <f>I12</f>
        <v>0</v>
      </c>
    </row>
    <row r="21" spans="1:4" x14ac:dyDescent="0.3">
      <c r="A21">
        <v>20</v>
      </c>
      <c r="B21" t="s">
        <v>4</v>
      </c>
      <c r="C21">
        <f>G11</f>
        <v>0</v>
      </c>
    </row>
    <row r="22" spans="1:4" x14ac:dyDescent="0.3">
      <c r="A22">
        <v>21</v>
      </c>
      <c r="B22" t="s">
        <v>27</v>
      </c>
      <c r="C22">
        <f>M4</f>
        <v>0</v>
      </c>
    </row>
    <row r="23" spans="1:4" x14ac:dyDescent="0.3">
      <c r="A23">
        <v>22</v>
      </c>
      <c r="B23" t="s">
        <v>11</v>
      </c>
      <c r="C23">
        <f>K11</f>
        <v>10</v>
      </c>
    </row>
    <row r="24" spans="1:4" x14ac:dyDescent="0.3">
      <c r="A24">
        <v>23</v>
      </c>
      <c r="B24" t="s">
        <v>31</v>
      </c>
      <c r="C24">
        <f>E11</f>
        <v>10</v>
      </c>
    </row>
    <row r="25" spans="1:4" x14ac:dyDescent="0.3">
      <c r="A25">
        <v>24</v>
      </c>
      <c r="B25" t="s">
        <v>5</v>
      </c>
      <c r="C25">
        <f>E4</f>
        <v>0</v>
      </c>
    </row>
    <row r="26" spans="1:4" x14ac:dyDescent="0.3">
      <c r="A26">
        <v>25</v>
      </c>
      <c r="B26" s="2" t="s">
        <v>16</v>
      </c>
      <c r="C26">
        <f>E16</f>
        <v>0</v>
      </c>
    </row>
    <row r="27" spans="1:4" x14ac:dyDescent="0.3">
      <c r="A27">
        <v>26</v>
      </c>
      <c r="B27" t="s">
        <v>9</v>
      </c>
      <c r="C27">
        <f>E17</f>
        <v>0</v>
      </c>
    </row>
    <row r="28" spans="1:4" x14ac:dyDescent="0.3">
      <c r="A28">
        <v>27</v>
      </c>
      <c r="B28" t="s">
        <v>14</v>
      </c>
      <c r="C28">
        <f>K4</f>
        <v>0</v>
      </c>
    </row>
    <row r="29" spans="1:4" x14ac:dyDescent="0.3">
      <c r="A29">
        <v>28</v>
      </c>
      <c r="B29" t="s">
        <v>15</v>
      </c>
      <c r="C29">
        <f>K9</f>
        <v>8</v>
      </c>
    </row>
    <row r="30" spans="1:4" x14ac:dyDescent="0.3">
      <c r="A30">
        <v>29</v>
      </c>
      <c r="B30" t="s">
        <v>32</v>
      </c>
      <c r="C30">
        <f>E10</f>
        <v>10</v>
      </c>
    </row>
    <row r="31" spans="1:4" x14ac:dyDescent="0.3">
      <c r="A31">
        <v>30</v>
      </c>
      <c r="B31" t="s">
        <v>6</v>
      </c>
      <c r="C31">
        <f>G5</f>
        <v>0</v>
      </c>
    </row>
    <row r="32" spans="1:4" x14ac:dyDescent="0.3">
      <c r="A32">
        <v>31</v>
      </c>
      <c r="B32" t="s">
        <v>23</v>
      </c>
      <c r="C32">
        <f>I11</f>
        <v>0</v>
      </c>
    </row>
    <row r="33" spans="1:3" x14ac:dyDescent="0.3">
      <c r="A33">
        <v>32</v>
      </c>
      <c r="B33" t="s">
        <v>59</v>
      </c>
      <c r="C33">
        <f>G12</f>
        <v>0</v>
      </c>
    </row>
    <row r="34" spans="1:3" x14ac:dyDescent="0.3">
      <c r="A34">
        <v>33</v>
      </c>
      <c r="B34" t="s">
        <v>20</v>
      </c>
      <c r="C34">
        <f>E6</f>
        <v>0</v>
      </c>
    </row>
    <row r="35" spans="1:3" x14ac:dyDescent="0.3">
      <c r="A35">
        <v>34</v>
      </c>
      <c r="B35" t="s">
        <v>18</v>
      </c>
      <c r="C35">
        <f>E12</f>
        <v>10</v>
      </c>
    </row>
    <row r="36" spans="1:3" x14ac:dyDescent="0.3">
      <c r="A36">
        <v>35</v>
      </c>
      <c r="B36" t="s">
        <v>60</v>
      </c>
      <c r="C36">
        <f>G10</f>
        <v>0</v>
      </c>
    </row>
    <row r="37" spans="1:3" x14ac:dyDescent="0.3">
      <c r="A37">
        <v>36</v>
      </c>
      <c r="B37" t="s">
        <v>12</v>
      </c>
      <c r="C37">
        <f>E5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A834C-610A-4AA0-97DF-BFD358C85D4C}">
  <dimension ref="A1:K37"/>
  <sheetViews>
    <sheetView tabSelected="1" topLeftCell="A17" workbookViewId="0">
      <selection activeCell="K17" sqref="K17"/>
    </sheetView>
  </sheetViews>
  <sheetFormatPr baseColWidth="10" defaultRowHeight="14.4" x14ac:dyDescent="0.3"/>
  <cols>
    <col min="1" max="1" width="11.5546875" style="3"/>
    <col min="2" max="2" width="49.88671875" style="3" customWidth="1"/>
    <col min="3" max="3" width="11.21875" style="3" customWidth="1"/>
    <col min="4" max="4" width="11.5546875" style="3"/>
    <col min="5" max="5" width="11.5546875" style="6"/>
    <col min="6" max="9" width="11.5546875" style="3"/>
    <col min="10" max="10" width="36" style="3" bestFit="1" customWidth="1"/>
    <col min="11" max="16384" width="11.5546875" style="3"/>
  </cols>
  <sheetData>
    <row r="1" spans="1:11" x14ac:dyDescent="0.3">
      <c r="A1" s="3" t="s">
        <v>89</v>
      </c>
      <c r="B1" s="3" t="s">
        <v>1</v>
      </c>
      <c r="C1" s="3" t="s">
        <v>90</v>
      </c>
      <c r="D1" s="3" t="s">
        <v>91</v>
      </c>
      <c r="E1" s="6" t="s">
        <v>92</v>
      </c>
      <c r="F1" s="3" t="s">
        <v>93</v>
      </c>
      <c r="K1" s="3" t="s">
        <v>100</v>
      </c>
    </row>
    <row r="2" spans="1:11" x14ac:dyDescent="0.3">
      <c r="A2" s="3">
        <v>1</v>
      </c>
      <c r="B2" s="3" t="s">
        <v>19</v>
      </c>
      <c r="C2" s="3" t="str">
        <f>IF(D2&gt;0, "Entregado", "Pendiente")</f>
        <v>Entregado</v>
      </c>
      <c r="D2" s="3">
        <f>K2</f>
        <v>10</v>
      </c>
      <c r="E2" s="6">
        <v>46270</v>
      </c>
      <c r="F2" s="3" t="s">
        <v>94</v>
      </c>
      <c r="I2" s="3">
        <v>1</v>
      </c>
      <c r="J2" s="3" t="s">
        <v>19</v>
      </c>
      <c r="K2" s="3">
        <v>10</v>
      </c>
    </row>
    <row r="3" spans="1:11" x14ac:dyDescent="0.3">
      <c r="A3" s="3">
        <v>2</v>
      </c>
      <c r="B3" s="3" t="s">
        <v>7</v>
      </c>
      <c r="C3" s="3" t="str">
        <f t="shared" ref="C3:C37" si="0">IF(D3&gt;0, "Entregado", "Pendiente")</f>
        <v>Entregado</v>
      </c>
      <c r="D3" s="3">
        <f t="shared" ref="D3:D37" si="1">K3</f>
        <v>10</v>
      </c>
      <c r="E3" s="6">
        <v>46270</v>
      </c>
      <c r="F3" s="3" t="s">
        <v>94</v>
      </c>
      <c r="I3" s="3">
        <v>2</v>
      </c>
      <c r="J3" s="3" t="s">
        <v>7</v>
      </c>
      <c r="K3" s="3">
        <v>10</v>
      </c>
    </row>
    <row r="4" spans="1:11" x14ac:dyDescent="0.3">
      <c r="A4" s="3">
        <v>3</v>
      </c>
      <c r="B4" s="3" t="s">
        <v>30</v>
      </c>
      <c r="C4" s="3" t="str">
        <f t="shared" si="0"/>
        <v>Entregado</v>
      </c>
      <c r="D4" s="3">
        <f t="shared" si="1"/>
        <v>10</v>
      </c>
      <c r="E4" s="6">
        <v>46270</v>
      </c>
      <c r="F4" s="3" t="s">
        <v>94</v>
      </c>
      <c r="I4" s="3">
        <v>3</v>
      </c>
      <c r="J4" s="3" t="s">
        <v>30</v>
      </c>
      <c r="K4" s="3">
        <v>10</v>
      </c>
    </row>
    <row r="5" spans="1:11" x14ac:dyDescent="0.3">
      <c r="A5" s="3">
        <v>4</v>
      </c>
      <c r="B5" s="3" t="s">
        <v>26</v>
      </c>
      <c r="C5" s="3" t="str">
        <f t="shared" si="0"/>
        <v>Entregado</v>
      </c>
      <c r="D5" s="3">
        <f t="shared" si="1"/>
        <v>10</v>
      </c>
      <c r="E5" s="6">
        <v>46270</v>
      </c>
      <c r="F5" s="3" t="s">
        <v>94</v>
      </c>
      <c r="I5" s="3">
        <v>4</v>
      </c>
      <c r="J5" s="3" t="s">
        <v>26</v>
      </c>
      <c r="K5" s="3">
        <v>10</v>
      </c>
    </row>
    <row r="6" spans="1:11" x14ac:dyDescent="0.3">
      <c r="A6" s="3">
        <v>5</v>
      </c>
      <c r="B6" s="3" t="s">
        <v>29</v>
      </c>
      <c r="C6" s="3" t="str">
        <f t="shared" si="0"/>
        <v>Entregado</v>
      </c>
      <c r="D6" s="3">
        <f t="shared" si="1"/>
        <v>10</v>
      </c>
      <c r="E6" s="6">
        <v>46270</v>
      </c>
      <c r="F6" s="3" t="s">
        <v>94</v>
      </c>
      <c r="I6" s="3">
        <v>5</v>
      </c>
      <c r="J6" s="3" t="s">
        <v>29</v>
      </c>
      <c r="K6" s="3">
        <v>10</v>
      </c>
    </row>
    <row r="7" spans="1:11" x14ac:dyDescent="0.3">
      <c r="A7" s="3">
        <v>6</v>
      </c>
      <c r="B7" s="3" t="s">
        <v>56</v>
      </c>
      <c r="C7" s="3" t="str">
        <f t="shared" si="0"/>
        <v>Entregado</v>
      </c>
      <c r="D7" s="3">
        <f t="shared" si="1"/>
        <v>10</v>
      </c>
      <c r="E7" s="6">
        <v>46270</v>
      </c>
      <c r="F7" s="3" t="s">
        <v>94</v>
      </c>
      <c r="I7" s="3">
        <v>6</v>
      </c>
      <c r="J7" s="3" t="s">
        <v>56</v>
      </c>
      <c r="K7" s="3">
        <v>10</v>
      </c>
    </row>
    <row r="8" spans="1:11" x14ac:dyDescent="0.3">
      <c r="A8" s="3">
        <v>7</v>
      </c>
      <c r="B8" s="3" t="s">
        <v>2</v>
      </c>
      <c r="C8" s="3" t="str">
        <f t="shared" si="0"/>
        <v>Entregado</v>
      </c>
      <c r="D8" s="3">
        <f t="shared" si="1"/>
        <v>9</v>
      </c>
      <c r="E8" s="6">
        <v>46270</v>
      </c>
      <c r="F8" s="3" t="s">
        <v>94</v>
      </c>
      <c r="I8" s="3">
        <v>7</v>
      </c>
      <c r="J8" s="3" t="s">
        <v>2</v>
      </c>
      <c r="K8" s="3">
        <v>9</v>
      </c>
    </row>
    <row r="9" spans="1:11" x14ac:dyDescent="0.3">
      <c r="A9" s="3">
        <v>8</v>
      </c>
      <c r="B9" s="3" t="s">
        <v>21</v>
      </c>
      <c r="C9" s="3" t="str">
        <f t="shared" si="0"/>
        <v>Entregado</v>
      </c>
      <c r="D9" s="3">
        <f t="shared" si="1"/>
        <v>9</v>
      </c>
      <c r="E9" s="6">
        <v>46270</v>
      </c>
      <c r="F9" s="3" t="s">
        <v>94</v>
      </c>
      <c r="I9" s="3">
        <v>8</v>
      </c>
      <c r="J9" s="3" t="s">
        <v>21</v>
      </c>
      <c r="K9" s="3">
        <v>9</v>
      </c>
    </row>
    <row r="10" spans="1:11" x14ac:dyDescent="0.3">
      <c r="A10" s="3">
        <v>9</v>
      </c>
      <c r="B10" s="3" t="s">
        <v>13</v>
      </c>
      <c r="C10" s="3" t="str">
        <f t="shared" si="0"/>
        <v>Entregado</v>
      </c>
      <c r="D10" s="3">
        <f t="shared" si="1"/>
        <v>9</v>
      </c>
      <c r="E10" s="6">
        <v>46270</v>
      </c>
      <c r="F10" s="3" t="s">
        <v>94</v>
      </c>
      <c r="I10" s="3">
        <v>9</v>
      </c>
      <c r="J10" s="3" t="s">
        <v>13</v>
      </c>
      <c r="K10" s="3">
        <v>9</v>
      </c>
    </row>
    <row r="11" spans="1:11" x14ac:dyDescent="0.3">
      <c r="A11" s="3">
        <v>10</v>
      </c>
      <c r="B11" s="3" t="s">
        <v>3</v>
      </c>
      <c r="C11" s="3" t="str">
        <f t="shared" si="0"/>
        <v>Pendiente</v>
      </c>
      <c r="D11" s="3">
        <f t="shared" si="1"/>
        <v>0</v>
      </c>
      <c r="E11" s="6">
        <v>46270</v>
      </c>
      <c r="F11" s="3" t="s">
        <v>94</v>
      </c>
      <c r="I11" s="3">
        <v>10</v>
      </c>
      <c r="J11" s="3" t="s">
        <v>3</v>
      </c>
      <c r="K11" s="3">
        <v>0</v>
      </c>
    </row>
    <row r="12" spans="1:11" x14ac:dyDescent="0.3">
      <c r="A12" s="3">
        <v>11</v>
      </c>
      <c r="B12" s="3" t="s">
        <v>17</v>
      </c>
      <c r="C12" s="3" t="str">
        <f t="shared" si="0"/>
        <v>Pendiente</v>
      </c>
      <c r="D12" s="3">
        <f t="shared" si="1"/>
        <v>0</v>
      </c>
      <c r="E12" s="6">
        <v>46270</v>
      </c>
      <c r="F12" s="3" t="s">
        <v>94</v>
      </c>
      <c r="I12" s="3">
        <v>11</v>
      </c>
      <c r="J12" s="3" t="s">
        <v>17</v>
      </c>
      <c r="K12" s="3">
        <v>0</v>
      </c>
    </row>
    <row r="13" spans="1:11" x14ac:dyDescent="0.3">
      <c r="A13" s="3">
        <v>12</v>
      </c>
      <c r="B13" s="3" t="s">
        <v>22</v>
      </c>
      <c r="C13" s="3" t="str">
        <f t="shared" si="0"/>
        <v>Pendiente</v>
      </c>
      <c r="D13" s="3">
        <f t="shared" si="1"/>
        <v>0</v>
      </c>
      <c r="E13" s="6">
        <v>46270</v>
      </c>
      <c r="F13" s="3" t="s">
        <v>94</v>
      </c>
      <c r="I13" s="3">
        <v>12</v>
      </c>
      <c r="J13" s="3" t="s">
        <v>22</v>
      </c>
      <c r="K13" s="3">
        <v>0</v>
      </c>
    </row>
    <row r="14" spans="1:11" x14ac:dyDescent="0.3">
      <c r="A14" s="3">
        <v>13</v>
      </c>
      <c r="B14" s="3" t="s">
        <v>57</v>
      </c>
      <c r="C14" s="3" t="str">
        <f t="shared" si="0"/>
        <v>Pendiente</v>
      </c>
      <c r="D14" s="3">
        <f t="shared" si="1"/>
        <v>0</v>
      </c>
      <c r="E14" s="6">
        <v>46270</v>
      </c>
      <c r="F14" s="3" t="s">
        <v>94</v>
      </c>
      <c r="I14" s="3">
        <v>13</v>
      </c>
      <c r="J14" s="3" t="s">
        <v>57</v>
      </c>
      <c r="K14" s="3">
        <v>0</v>
      </c>
    </row>
    <row r="15" spans="1:11" x14ac:dyDescent="0.3">
      <c r="A15" s="3">
        <v>14</v>
      </c>
      <c r="B15" s="3" t="s">
        <v>58</v>
      </c>
      <c r="C15" s="3" t="str">
        <f t="shared" si="0"/>
        <v>Pendiente</v>
      </c>
      <c r="D15" s="3">
        <f t="shared" si="1"/>
        <v>0</v>
      </c>
      <c r="E15" s="6">
        <v>46270</v>
      </c>
      <c r="F15" s="3" t="s">
        <v>94</v>
      </c>
      <c r="I15" s="3">
        <v>14</v>
      </c>
      <c r="J15" s="3" t="s">
        <v>58</v>
      </c>
      <c r="K15" s="3">
        <v>0</v>
      </c>
    </row>
    <row r="16" spans="1:11" x14ac:dyDescent="0.3">
      <c r="A16" s="3">
        <v>15</v>
      </c>
      <c r="B16" s="3" t="s">
        <v>8</v>
      </c>
      <c r="C16" s="3" t="str">
        <f t="shared" si="0"/>
        <v>Entregado</v>
      </c>
      <c r="D16" s="3">
        <f t="shared" si="1"/>
        <v>8</v>
      </c>
      <c r="E16" s="6">
        <v>46270</v>
      </c>
      <c r="F16" s="3" t="s">
        <v>94</v>
      </c>
      <c r="I16" s="3">
        <v>15</v>
      </c>
      <c r="J16" s="3" t="s">
        <v>8</v>
      </c>
      <c r="K16" s="3">
        <v>8</v>
      </c>
    </row>
    <row r="17" spans="1:11" x14ac:dyDescent="0.3">
      <c r="A17" s="3">
        <v>16</v>
      </c>
      <c r="B17" s="3" t="s">
        <v>25</v>
      </c>
      <c r="C17" s="3" t="str">
        <f t="shared" si="0"/>
        <v>Entregado</v>
      </c>
      <c r="D17" s="3">
        <f t="shared" si="1"/>
        <v>8</v>
      </c>
      <c r="E17" s="6">
        <v>46270</v>
      </c>
      <c r="F17" s="3" t="s">
        <v>94</v>
      </c>
      <c r="I17" s="3">
        <v>16</v>
      </c>
      <c r="J17" s="3" t="s">
        <v>25</v>
      </c>
      <c r="K17" s="3">
        <v>8</v>
      </c>
    </row>
    <row r="18" spans="1:11" x14ac:dyDescent="0.3">
      <c r="A18" s="3">
        <v>17</v>
      </c>
      <c r="B18" s="3" t="s">
        <v>28</v>
      </c>
      <c r="C18" s="3" t="str">
        <f t="shared" si="0"/>
        <v>Entregado</v>
      </c>
      <c r="D18" s="3">
        <f t="shared" si="1"/>
        <v>8</v>
      </c>
      <c r="E18" s="6">
        <v>46270</v>
      </c>
      <c r="F18" s="3" t="s">
        <v>94</v>
      </c>
      <c r="I18" s="3">
        <v>17</v>
      </c>
      <c r="J18" s="3" t="s">
        <v>28</v>
      </c>
      <c r="K18" s="3">
        <v>8</v>
      </c>
    </row>
    <row r="19" spans="1:11" x14ac:dyDescent="0.3">
      <c r="A19" s="3">
        <v>18</v>
      </c>
      <c r="B19" s="3" t="s">
        <v>24</v>
      </c>
      <c r="C19" s="3" t="str">
        <f t="shared" si="0"/>
        <v>Entregado</v>
      </c>
      <c r="D19" s="3">
        <f t="shared" si="1"/>
        <v>8</v>
      </c>
      <c r="E19" s="6">
        <v>46270</v>
      </c>
      <c r="F19" s="3" t="s">
        <v>94</v>
      </c>
      <c r="I19" s="3">
        <v>18</v>
      </c>
      <c r="J19" s="3" t="s">
        <v>24</v>
      </c>
      <c r="K19" s="3">
        <v>8</v>
      </c>
    </row>
    <row r="20" spans="1:11" x14ac:dyDescent="0.3">
      <c r="A20" s="3">
        <v>19</v>
      </c>
      <c r="B20" s="3" t="s">
        <v>10</v>
      </c>
      <c r="C20" s="3" t="str">
        <f t="shared" si="0"/>
        <v>Entregado</v>
      </c>
      <c r="D20" s="3">
        <f t="shared" si="1"/>
        <v>8</v>
      </c>
      <c r="E20" s="6">
        <v>46270</v>
      </c>
      <c r="F20" s="3" t="s">
        <v>94</v>
      </c>
      <c r="I20" s="3">
        <v>19</v>
      </c>
      <c r="J20" s="3" t="s">
        <v>10</v>
      </c>
      <c r="K20" s="3">
        <v>8</v>
      </c>
    </row>
    <row r="21" spans="1:11" x14ac:dyDescent="0.3">
      <c r="A21" s="3">
        <v>20</v>
      </c>
      <c r="B21" s="3" t="s">
        <v>4</v>
      </c>
      <c r="C21" s="3" t="str">
        <f t="shared" si="0"/>
        <v>Entregado</v>
      </c>
      <c r="D21" s="3">
        <f t="shared" si="1"/>
        <v>7</v>
      </c>
      <c r="E21" s="6">
        <v>46270</v>
      </c>
      <c r="F21" s="3" t="s">
        <v>94</v>
      </c>
      <c r="I21" s="3">
        <v>20</v>
      </c>
      <c r="J21" s="3" t="s">
        <v>4</v>
      </c>
      <c r="K21" s="3">
        <v>7</v>
      </c>
    </row>
    <row r="22" spans="1:11" x14ac:dyDescent="0.3">
      <c r="A22" s="3">
        <v>21</v>
      </c>
      <c r="B22" s="3" t="s">
        <v>27</v>
      </c>
      <c r="C22" s="3" t="str">
        <f t="shared" si="0"/>
        <v>Entregado</v>
      </c>
      <c r="D22" s="3">
        <f t="shared" si="1"/>
        <v>7</v>
      </c>
      <c r="E22" s="6">
        <v>46270</v>
      </c>
      <c r="F22" s="3" t="s">
        <v>94</v>
      </c>
      <c r="I22" s="3">
        <v>21</v>
      </c>
      <c r="J22" s="3" t="s">
        <v>27</v>
      </c>
      <c r="K22" s="3">
        <v>7</v>
      </c>
    </row>
    <row r="23" spans="1:11" x14ac:dyDescent="0.3">
      <c r="A23" s="3">
        <v>22</v>
      </c>
      <c r="B23" s="3" t="s">
        <v>11</v>
      </c>
      <c r="C23" s="3" t="str">
        <f t="shared" si="0"/>
        <v>Entregado</v>
      </c>
      <c r="D23" s="3">
        <f t="shared" si="1"/>
        <v>7</v>
      </c>
      <c r="E23" s="6">
        <v>46270</v>
      </c>
      <c r="F23" s="3" t="s">
        <v>94</v>
      </c>
      <c r="I23" s="3">
        <v>22</v>
      </c>
      <c r="J23" s="3" t="s">
        <v>11</v>
      </c>
      <c r="K23" s="3">
        <v>7</v>
      </c>
    </row>
    <row r="24" spans="1:11" x14ac:dyDescent="0.3">
      <c r="A24" s="3">
        <v>23</v>
      </c>
      <c r="B24" s="3" t="s">
        <v>31</v>
      </c>
      <c r="C24" s="3" t="str">
        <f t="shared" si="0"/>
        <v>Entregado</v>
      </c>
      <c r="D24" s="3">
        <f t="shared" si="1"/>
        <v>7</v>
      </c>
      <c r="E24" s="6">
        <v>46270</v>
      </c>
      <c r="F24" s="3" t="s">
        <v>94</v>
      </c>
      <c r="I24" s="3">
        <v>23</v>
      </c>
      <c r="J24" s="3" t="s">
        <v>31</v>
      </c>
      <c r="K24" s="3">
        <v>7</v>
      </c>
    </row>
    <row r="25" spans="1:11" x14ac:dyDescent="0.3">
      <c r="A25" s="3">
        <v>24</v>
      </c>
      <c r="B25" s="3" t="s">
        <v>5</v>
      </c>
      <c r="C25" s="3" t="str">
        <f t="shared" si="0"/>
        <v>Entregado</v>
      </c>
      <c r="D25" s="3">
        <f t="shared" si="1"/>
        <v>7</v>
      </c>
      <c r="E25" s="6">
        <v>46270</v>
      </c>
      <c r="F25" s="3" t="s">
        <v>94</v>
      </c>
      <c r="I25" s="3">
        <v>24</v>
      </c>
      <c r="J25" s="3" t="s">
        <v>5</v>
      </c>
      <c r="K25" s="3">
        <v>7</v>
      </c>
    </row>
    <row r="26" spans="1:11" x14ac:dyDescent="0.3">
      <c r="A26" s="3">
        <v>25</v>
      </c>
      <c r="B26" s="3" t="s">
        <v>16</v>
      </c>
      <c r="C26" s="3" t="str">
        <f t="shared" si="0"/>
        <v>Entregado</v>
      </c>
      <c r="D26" s="3">
        <f t="shared" si="1"/>
        <v>5</v>
      </c>
      <c r="E26" s="6">
        <v>46270</v>
      </c>
      <c r="F26" s="3" t="s">
        <v>94</v>
      </c>
      <c r="I26" s="3">
        <v>25</v>
      </c>
      <c r="J26" s="3" t="s">
        <v>16</v>
      </c>
      <c r="K26" s="3">
        <v>5</v>
      </c>
    </row>
    <row r="27" spans="1:11" x14ac:dyDescent="0.3">
      <c r="A27" s="3">
        <v>26</v>
      </c>
      <c r="B27" s="3" t="s">
        <v>9</v>
      </c>
      <c r="C27" s="3" t="str">
        <f t="shared" si="0"/>
        <v>Entregado</v>
      </c>
      <c r="D27" s="3">
        <f t="shared" si="1"/>
        <v>7</v>
      </c>
      <c r="E27" s="6">
        <v>46270</v>
      </c>
      <c r="F27" s="3" t="s">
        <v>94</v>
      </c>
      <c r="I27" s="3">
        <v>26</v>
      </c>
      <c r="J27" s="3" t="s">
        <v>9</v>
      </c>
      <c r="K27" s="3">
        <v>7</v>
      </c>
    </row>
    <row r="28" spans="1:11" x14ac:dyDescent="0.3">
      <c r="A28" s="3">
        <v>27</v>
      </c>
      <c r="B28" s="3" t="s">
        <v>14</v>
      </c>
      <c r="C28" s="3" t="str">
        <f t="shared" si="0"/>
        <v>Entregado</v>
      </c>
      <c r="D28" s="3">
        <f t="shared" si="1"/>
        <v>6</v>
      </c>
      <c r="E28" s="6">
        <v>46270</v>
      </c>
      <c r="F28" s="3" t="s">
        <v>94</v>
      </c>
      <c r="I28" s="3">
        <v>27</v>
      </c>
      <c r="J28" s="3" t="s">
        <v>14</v>
      </c>
      <c r="K28" s="3">
        <v>6</v>
      </c>
    </row>
    <row r="29" spans="1:11" x14ac:dyDescent="0.3">
      <c r="A29" s="3">
        <v>28</v>
      </c>
      <c r="B29" s="3" t="s">
        <v>15</v>
      </c>
      <c r="C29" s="3" t="str">
        <f t="shared" si="0"/>
        <v>Entregado</v>
      </c>
      <c r="D29" s="3">
        <f t="shared" si="1"/>
        <v>6</v>
      </c>
      <c r="E29" s="6">
        <v>46270</v>
      </c>
      <c r="F29" s="3" t="s">
        <v>94</v>
      </c>
      <c r="I29" s="3">
        <v>28</v>
      </c>
      <c r="J29" s="3" t="s">
        <v>15</v>
      </c>
      <c r="K29" s="3">
        <v>6</v>
      </c>
    </row>
    <row r="30" spans="1:11" x14ac:dyDescent="0.3">
      <c r="A30" s="3">
        <v>29</v>
      </c>
      <c r="B30" s="3" t="s">
        <v>32</v>
      </c>
      <c r="C30" s="3" t="str">
        <f t="shared" si="0"/>
        <v>Entregado</v>
      </c>
      <c r="D30" s="3">
        <f t="shared" si="1"/>
        <v>6</v>
      </c>
      <c r="E30" s="6">
        <v>46270</v>
      </c>
      <c r="F30" s="3" t="s">
        <v>94</v>
      </c>
      <c r="I30" s="3">
        <v>29</v>
      </c>
      <c r="J30" s="3" t="s">
        <v>32</v>
      </c>
      <c r="K30" s="3">
        <v>6</v>
      </c>
    </row>
    <row r="31" spans="1:11" x14ac:dyDescent="0.3">
      <c r="A31" s="3">
        <v>30</v>
      </c>
      <c r="B31" s="3" t="s">
        <v>6</v>
      </c>
      <c r="C31" s="3" t="str">
        <f t="shared" si="0"/>
        <v>Entregado</v>
      </c>
      <c r="D31" s="3">
        <f t="shared" si="1"/>
        <v>6</v>
      </c>
      <c r="E31" s="6">
        <v>46270</v>
      </c>
      <c r="F31" s="3" t="s">
        <v>94</v>
      </c>
      <c r="I31" s="3">
        <v>30</v>
      </c>
      <c r="J31" s="3" t="s">
        <v>6</v>
      </c>
      <c r="K31" s="3">
        <v>6</v>
      </c>
    </row>
    <row r="32" spans="1:11" x14ac:dyDescent="0.3">
      <c r="A32" s="3">
        <v>31</v>
      </c>
      <c r="B32" s="3" t="s">
        <v>23</v>
      </c>
      <c r="C32" s="3" t="str">
        <f t="shared" si="0"/>
        <v>Entregado</v>
      </c>
      <c r="D32" s="3">
        <f t="shared" si="1"/>
        <v>6</v>
      </c>
      <c r="E32" s="6">
        <v>46270</v>
      </c>
      <c r="F32" s="3" t="s">
        <v>94</v>
      </c>
      <c r="I32" s="3">
        <v>31</v>
      </c>
      <c r="J32" s="3" t="s">
        <v>23</v>
      </c>
      <c r="K32" s="3">
        <v>6</v>
      </c>
    </row>
    <row r="33" spans="1:11" x14ac:dyDescent="0.3">
      <c r="A33" s="3">
        <v>32</v>
      </c>
      <c r="B33" s="3" t="s">
        <v>59</v>
      </c>
      <c r="C33" s="3" t="str">
        <f t="shared" si="0"/>
        <v>Entregado</v>
      </c>
      <c r="D33" s="3">
        <f t="shared" si="1"/>
        <v>6</v>
      </c>
      <c r="E33" s="6">
        <v>46270</v>
      </c>
      <c r="F33" s="3" t="s">
        <v>94</v>
      </c>
      <c r="I33" s="3">
        <v>32</v>
      </c>
      <c r="J33" s="3" t="s">
        <v>59</v>
      </c>
      <c r="K33" s="3">
        <v>6</v>
      </c>
    </row>
    <row r="34" spans="1:11" x14ac:dyDescent="0.3">
      <c r="A34" s="3">
        <v>33</v>
      </c>
      <c r="B34" s="3" t="s">
        <v>20</v>
      </c>
      <c r="C34" s="3" t="str">
        <f t="shared" si="0"/>
        <v>Entregado</v>
      </c>
      <c r="D34" s="3">
        <f t="shared" si="1"/>
        <v>6</v>
      </c>
      <c r="E34" s="6">
        <v>46270</v>
      </c>
      <c r="F34" s="3" t="s">
        <v>94</v>
      </c>
      <c r="I34" s="3">
        <v>33</v>
      </c>
      <c r="J34" s="3" t="s">
        <v>20</v>
      </c>
      <c r="K34" s="3">
        <v>6</v>
      </c>
    </row>
    <row r="35" spans="1:11" x14ac:dyDescent="0.3">
      <c r="A35" s="3">
        <v>34</v>
      </c>
      <c r="B35" s="3" t="s">
        <v>18</v>
      </c>
      <c r="C35" s="3" t="str">
        <f t="shared" si="0"/>
        <v>Entregado</v>
      </c>
      <c r="D35" s="3">
        <f t="shared" si="1"/>
        <v>6</v>
      </c>
      <c r="E35" s="6">
        <v>46270</v>
      </c>
      <c r="F35" s="3" t="s">
        <v>94</v>
      </c>
      <c r="I35" s="3">
        <v>34</v>
      </c>
      <c r="J35" s="3" t="s">
        <v>18</v>
      </c>
      <c r="K35" s="3">
        <v>6</v>
      </c>
    </row>
    <row r="36" spans="1:11" x14ac:dyDescent="0.3">
      <c r="A36" s="3">
        <v>35</v>
      </c>
      <c r="B36" s="3" t="s">
        <v>60</v>
      </c>
      <c r="C36" s="3" t="str">
        <f t="shared" si="0"/>
        <v>Entregado</v>
      </c>
      <c r="D36" s="3">
        <f t="shared" si="1"/>
        <v>6</v>
      </c>
      <c r="E36" s="6">
        <v>46270</v>
      </c>
      <c r="F36" s="3" t="s">
        <v>94</v>
      </c>
      <c r="I36" s="3">
        <v>35</v>
      </c>
      <c r="J36" s="3" t="s">
        <v>60</v>
      </c>
      <c r="K36" s="3">
        <v>6</v>
      </c>
    </row>
    <row r="37" spans="1:11" x14ac:dyDescent="0.3">
      <c r="A37" s="3">
        <v>36</v>
      </c>
      <c r="B37" s="3" t="s">
        <v>12</v>
      </c>
      <c r="C37" s="3" t="str">
        <f t="shared" si="0"/>
        <v>Entregado</v>
      </c>
      <c r="D37" s="3">
        <f t="shared" si="1"/>
        <v>6</v>
      </c>
      <c r="E37" s="6">
        <v>46270</v>
      </c>
      <c r="F37" s="3" t="s">
        <v>94</v>
      </c>
      <c r="I37" s="3">
        <v>36</v>
      </c>
      <c r="J37" s="3" t="s">
        <v>12</v>
      </c>
      <c r="K37" s="3">
        <v>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3FEBB-084F-4B02-913F-1B211965931D}">
  <dimension ref="A1:K37"/>
  <sheetViews>
    <sheetView topLeftCell="A15" workbookViewId="0">
      <selection activeCell="K27" sqref="K27"/>
    </sheetView>
  </sheetViews>
  <sheetFormatPr baseColWidth="10" defaultRowHeight="14.4" x14ac:dyDescent="0.3"/>
  <cols>
    <col min="1" max="1" width="11.5546875" style="3"/>
    <col min="2" max="2" width="49.88671875" style="3" customWidth="1"/>
    <col min="3" max="3" width="11.21875" style="3" customWidth="1"/>
    <col min="4" max="4" width="11.5546875" style="3"/>
    <col min="5" max="5" width="11.5546875" style="6"/>
    <col min="6" max="16384" width="11.5546875" style="3"/>
  </cols>
  <sheetData>
    <row r="1" spans="1:11" x14ac:dyDescent="0.3">
      <c r="A1" s="3" t="s">
        <v>89</v>
      </c>
      <c r="B1" s="3" t="s">
        <v>1</v>
      </c>
      <c r="C1" s="3" t="s">
        <v>90</v>
      </c>
      <c r="D1" s="3" t="s">
        <v>91</v>
      </c>
      <c r="E1" s="6" t="s">
        <v>92</v>
      </c>
      <c r="F1" s="3" t="s">
        <v>93</v>
      </c>
    </row>
    <row r="2" spans="1:11" x14ac:dyDescent="0.3">
      <c r="A2" s="3">
        <v>1</v>
      </c>
      <c r="B2" s="3" t="s">
        <v>19</v>
      </c>
      <c r="C2" s="3" t="str">
        <f>IF(D2&gt;0, "Entregado", "Pendiente")</f>
        <v>Entregado</v>
      </c>
      <c r="D2" s="3">
        <f>K2</f>
        <v>8</v>
      </c>
      <c r="E2" s="6">
        <v>46270</v>
      </c>
      <c r="F2" s="3" t="s">
        <v>95</v>
      </c>
      <c r="I2" s="3">
        <v>1</v>
      </c>
      <c r="J2" s="3" t="s">
        <v>19</v>
      </c>
      <c r="K2" s="3">
        <v>8</v>
      </c>
    </row>
    <row r="3" spans="1:11" x14ac:dyDescent="0.3">
      <c r="A3" s="3">
        <v>2</v>
      </c>
      <c r="B3" s="3" t="s">
        <v>7</v>
      </c>
      <c r="C3" s="3" t="str">
        <f t="shared" ref="C3:C37" si="0">IF(D3&gt;0, "Entregado", "Pendiente")</f>
        <v>Entregado</v>
      </c>
      <c r="D3" s="3">
        <f t="shared" ref="D3:D37" si="1">K3</f>
        <v>8</v>
      </c>
      <c r="E3" s="6">
        <v>46270</v>
      </c>
      <c r="F3" s="3" t="s">
        <v>95</v>
      </c>
      <c r="I3" s="3">
        <v>2</v>
      </c>
      <c r="J3" s="3" t="s">
        <v>7</v>
      </c>
      <c r="K3" s="3">
        <v>8</v>
      </c>
    </row>
    <row r="4" spans="1:11" x14ac:dyDescent="0.3">
      <c r="A4" s="3">
        <v>3</v>
      </c>
      <c r="B4" s="3" t="s">
        <v>30</v>
      </c>
      <c r="C4" s="3" t="str">
        <f t="shared" si="0"/>
        <v>Entregado</v>
      </c>
      <c r="D4" s="3">
        <f t="shared" si="1"/>
        <v>8</v>
      </c>
      <c r="E4" s="6">
        <v>46270</v>
      </c>
      <c r="F4" s="3" t="s">
        <v>95</v>
      </c>
      <c r="I4" s="3">
        <v>3</v>
      </c>
      <c r="J4" s="3" t="s">
        <v>30</v>
      </c>
      <c r="K4" s="3">
        <v>8</v>
      </c>
    </row>
    <row r="5" spans="1:11" x14ac:dyDescent="0.3">
      <c r="A5" s="3">
        <v>4</v>
      </c>
      <c r="B5" s="3" t="s">
        <v>26</v>
      </c>
      <c r="C5" s="3" t="str">
        <f t="shared" si="0"/>
        <v>Entregado</v>
      </c>
      <c r="D5" s="3">
        <f t="shared" si="1"/>
        <v>8</v>
      </c>
      <c r="E5" s="6">
        <v>46270</v>
      </c>
      <c r="F5" s="3" t="s">
        <v>95</v>
      </c>
      <c r="I5" s="3">
        <v>4</v>
      </c>
      <c r="J5" s="3" t="s">
        <v>26</v>
      </c>
      <c r="K5" s="3">
        <v>8</v>
      </c>
    </row>
    <row r="6" spans="1:11" x14ac:dyDescent="0.3">
      <c r="A6" s="3">
        <v>5</v>
      </c>
      <c r="B6" s="3" t="s">
        <v>29</v>
      </c>
      <c r="C6" s="3" t="str">
        <f t="shared" si="0"/>
        <v>Entregado</v>
      </c>
      <c r="D6" s="3">
        <f t="shared" si="1"/>
        <v>8</v>
      </c>
      <c r="E6" s="6">
        <v>46270</v>
      </c>
      <c r="F6" s="3" t="s">
        <v>95</v>
      </c>
      <c r="I6" s="3">
        <v>5</v>
      </c>
      <c r="J6" s="3" t="s">
        <v>29</v>
      </c>
      <c r="K6" s="3">
        <v>8</v>
      </c>
    </row>
    <row r="7" spans="1:11" x14ac:dyDescent="0.3">
      <c r="A7" s="3">
        <v>6</v>
      </c>
      <c r="B7" s="3" t="s">
        <v>56</v>
      </c>
      <c r="C7" s="3" t="str">
        <f t="shared" si="0"/>
        <v>Entregado</v>
      </c>
      <c r="D7" s="3">
        <f t="shared" si="1"/>
        <v>8</v>
      </c>
      <c r="E7" s="6">
        <v>46270</v>
      </c>
      <c r="F7" s="3" t="s">
        <v>95</v>
      </c>
      <c r="I7" s="3">
        <v>6</v>
      </c>
      <c r="J7" s="3" t="s">
        <v>56</v>
      </c>
      <c r="K7" s="3">
        <v>8</v>
      </c>
    </row>
    <row r="8" spans="1:11" x14ac:dyDescent="0.3">
      <c r="A8" s="3">
        <v>7</v>
      </c>
      <c r="B8" s="3" t="s">
        <v>2</v>
      </c>
      <c r="C8" s="3" t="str">
        <f t="shared" si="0"/>
        <v>Entregado</v>
      </c>
      <c r="D8" s="3">
        <f t="shared" si="1"/>
        <v>8</v>
      </c>
      <c r="E8" s="6">
        <v>46270</v>
      </c>
      <c r="F8" s="3" t="s">
        <v>95</v>
      </c>
      <c r="I8" s="3">
        <v>7</v>
      </c>
      <c r="J8" s="3" t="s">
        <v>2</v>
      </c>
      <c r="K8" s="3">
        <v>8</v>
      </c>
    </row>
    <row r="9" spans="1:11" x14ac:dyDescent="0.3">
      <c r="A9" s="3">
        <v>8</v>
      </c>
      <c r="B9" s="3" t="s">
        <v>21</v>
      </c>
      <c r="C9" s="3" t="str">
        <f t="shared" si="0"/>
        <v>Entregado</v>
      </c>
      <c r="D9" s="3">
        <f t="shared" si="1"/>
        <v>7</v>
      </c>
      <c r="E9" s="6">
        <v>46270</v>
      </c>
      <c r="F9" s="3" t="s">
        <v>95</v>
      </c>
      <c r="I9" s="3">
        <v>8</v>
      </c>
      <c r="J9" s="3" t="s">
        <v>21</v>
      </c>
      <c r="K9" s="3">
        <v>7</v>
      </c>
    </row>
    <row r="10" spans="1:11" x14ac:dyDescent="0.3">
      <c r="A10" s="3">
        <v>9</v>
      </c>
      <c r="B10" s="3" t="s">
        <v>13</v>
      </c>
      <c r="C10" s="3" t="str">
        <f t="shared" si="0"/>
        <v>Entregado</v>
      </c>
      <c r="D10" s="3">
        <f t="shared" si="1"/>
        <v>7</v>
      </c>
      <c r="E10" s="6">
        <v>46270</v>
      </c>
      <c r="F10" s="3" t="s">
        <v>95</v>
      </c>
      <c r="I10" s="3">
        <v>9</v>
      </c>
      <c r="J10" s="3" t="s">
        <v>13</v>
      </c>
      <c r="K10" s="3">
        <v>7</v>
      </c>
    </row>
    <row r="11" spans="1:11" x14ac:dyDescent="0.3">
      <c r="A11" s="3">
        <v>10</v>
      </c>
      <c r="B11" s="3" t="s">
        <v>3</v>
      </c>
      <c r="C11" s="3" t="str">
        <f t="shared" si="0"/>
        <v>Entregado</v>
      </c>
      <c r="D11" s="3">
        <f t="shared" si="1"/>
        <v>7</v>
      </c>
      <c r="E11" s="6">
        <v>46270</v>
      </c>
      <c r="F11" s="3" t="s">
        <v>95</v>
      </c>
      <c r="I11" s="3">
        <v>10</v>
      </c>
      <c r="J11" s="3" t="s">
        <v>3</v>
      </c>
      <c r="K11" s="3">
        <v>7</v>
      </c>
    </row>
    <row r="12" spans="1:11" x14ac:dyDescent="0.3">
      <c r="A12" s="3">
        <v>11</v>
      </c>
      <c r="B12" s="3" t="s">
        <v>17</v>
      </c>
      <c r="C12" s="3" t="str">
        <f t="shared" si="0"/>
        <v>Entregado</v>
      </c>
      <c r="D12" s="3">
        <f t="shared" si="1"/>
        <v>7</v>
      </c>
      <c r="E12" s="6">
        <v>46270</v>
      </c>
      <c r="F12" s="3" t="s">
        <v>95</v>
      </c>
      <c r="I12" s="3">
        <v>11</v>
      </c>
      <c r="J12" s="3" t="s">
        <v>17</v>
      </c>
      <c r="K12" s="3">
        <v>7</v>
      </c>
    </row>
    <row r="13" spans="1:11" x14ac:dyDescent="0.3">
      <c r="A13" s="3">
        <v>12</v>
      </c>
      <c r="B13" s="3" t="s">
        <v>22</v>
      </c>
      <c r="C13" s="3" t="str">
        <f t="shared" si="0"/>
        <v>Entregado</v>
      </c>
      <c r="D13" s="3">
        <f t="shared" si="1"/>
        <v>7</v>
      </c>
      <c r="E13" s="6">
        <v>46270</v>
      </c>
      <c r="F13" s="3" t="s">
        <v>95</v>
      </c>
      <c r="I13" s="3">
        <v>12</v>
      </c>
      <c r="J13" s="3" t="s">
        <v>22</v>
      </c>
      <c r="K13" s="3">
        <v>7</v>
      </c>
    </row>
    <row r="14" spans="1:11" x14ac:dyDescent="0.3">
      <c r="A14" s="3">
        <v>13</v>
      </c>
      <c r="B14" s="3" t="s">
        <v>57</v>
      </c>
      <c r="C14" s="3" t="str">
        <f t="shared" si="0"/>
        <v>Entregado</v>
      </c>
      <c r="D14" s="3">
        <f t="shared" si="1"/>
        <v>7</v>
      </c>
      <c r="E14" s="6">
        <v>46270</v>
      </c>
      <c r="F14" s="3" t="s">
        <v>95</v>
      </c>
      <c r="I14" s="3">
        <v>13</v>
      </c>
      <c r="J14" s="3" t="s">
        <v>57</v>
      </c>
      <c r="K14" s="3">
        <v>7</v>
      </c>
    </row>
    <row r="15" spans="1:11" x14ac:dyDescent="0.3">
      <c r="A15" s="3">
        <v>14</v>
      </c>
      <c r="B15" s="3" t="s">
        <v>58</v>
      </c>
      <c r="C15" s="3" t="str">
        <f t="shared" si="0"/>
        <v>Entregado</v>
      </c>
      <c r="D15" s="3">
        <f t="shared" si="1"/>
        <v>7</v>
      </c>
      <c r="E15" s="6">
        <v>46270</v>
      </c>
      <c r="F15" s="3" t="s">
        <v>95</v>
      </c>
      <c r="I15" s="3">
        <v>14</v>
      </c>
      <c r="J15" s="3" t="s">
        <v>58</v>
      </c>
      <c r="K15" s="3">
        <v>7</v>
      </c>
    </row>
    <row r="16" spans="1:11" x14ac:dyDescent="0.3">
      <c r="A16" s="3">
        <v>15</v>
      </c>
      <c r="B16" s="3" t="s">
        <v>8</v>
      </c>
      <c r="C16" s="3" t="str">
        <f t="shared" si="0"/>
        <v>Entregado</v>
      </c>
      <c r="D16" s="3">
        <f t="shared" si="1"/>
        <v>7</v>
      </c>
      <c r="E16" s="6">
        <v>46270</v>
      </c>
      <c r="F16" s="3" t="s">
        <v>95</v>
      </c>
      <c r="I16" s="3">
        <v>15</v>
      </c>
      <c r="J16" s="3" t="s">
        <v>8</v>
      </c>
      <c r="K16" s="3">
        <v>7</v>
      </c>
    </row>
    <row r="17" spans="1:11" x14ac:dyDescent="0.3">
      <c r="A17" s="3">
        <v>16</v>
      </c>
      <c r="B17" s="3" t="s">
        <v>25</v>
      </c>
      <c r="C17" s="3" t="str">
        <f t="shared" si="0"/>
        <v>Pendiente</v>
      </c>
      <c r="D17" s="3">
        <f t="shared" si="1"/>
        <v>0</v>
      </c>
      <c r="E17" s="6">
        <v>46270</v>
      </c>
      <c r="F17" s="3" t="s">
        <v>95</v>
      </c>
      <c r="I17" s="3">
        <v>16</v>
      </c>
      <c r="J17" s="3" t="s">
        <v>25</v>
      </c>
      <c r="K17" s="3">
        <v>0</v>
      </c>
    </row>
    <row r="18" spans="1:11" x14ac:dyDescent="0.3">
      <c r="A18" s="3">
        <v>17</v>
      </c>
      <c r="B18" s="3" t="s">
        <v>28</v>
      </c>
      <c r="C18" s="3" t="str">
        <f t="shared" si="0"/>
        <v>Entregado</v>
      </c>
      <c r="D18" s="3">
        <f t="shared" si="1"/>
        <v>6</v>
      </c>
      <c r="E18" s="6">
        <v>46270</v>
      </c>
      <c r="F18" s="3" t="s">
        <v>95</v>
      </c>
      <c r="I18" s="3">
        <v>17</v>
      </c>
      <c r="J18" s="3" t="s">
        <v>28</v>
      </c>
      <c r="K18" s="3">
        <v>6</v>
      </c>
    </row>
    <row r="19" spans="1:11" x14ac:dyDescent="0.3">
      <c r="A19" s="3">
        <v>18</v>
      </c>
      <c r="B19" s="3" t="s">
        <v>24</v>
      </c>
      <c r="C19" s="3" t="str">
        <f t="shared" si="0"/>
        <v>Entregado</v>
      </c>
      <c r="D19" s="3">
        <f t="shared" si="1"/>
        <v>6</v>
      </c>
      <c r="E19" s="6">
        <v>46270</v>
      </c>
      <c r="F19" s="3" t="s">
        <v>95</v>
      </c>
      <c r="I19" s="3">
        <v>18</v>
      </c>
      <c r="J19" s="3" t="s">
        <v>24</v>
      </c>
      <c r="K19" s="3">
        <v>6</v>
      </c>
    </row>
    <row r="20" spans="1:11" x14ac:dyDescent="0.3">
      <c r="A20" s="3">
        <v>19</v>
      </c>
      <c r="B20" s="3" t="s">
        <v>10</v>
      </c>
      <c r="C20" s="3" t="str">
        <f t="shared" si="0"/>
        <v>Entregado</v>
      </c>
      <c r="D20" s="3">
        <f t="shared" si="1"/>
        <v>6</v>
      </c>
      <c r="E20" s="6">
        <v>46270</v>
      </c>
      <c r="F20" s="3" t="s">
        <v>95</v>
      </c>
      <c r="I20" s="3">
        <v>19</v>
      </c>
      <c r="J20" s="3" t="s">
        <v>10</v>
      </c>
      <c r="K20" s="3">
        <v>6</v>
      </c>
    </row>
    <row r="21" spans="1:11" x14ac:dyDescent="0.3">
      <c r="A21" s="3">
        <v>20</v>
      </c>
      <c r="B21" s="3" t="s">
        <v>4</v>
      </c>
      <c r="C21" s="3" t="str">
        <f t="shared" si="0"/>
        <v>Pendiente</v>
      </c>
      <c r="D21" s="3">
        <f t="shared" si="1"/>
        <v>0</v>
      </c>
      <c r="E21" s="6">
        <v>46270</v>
      </c>
      <c r="F21" s="3" t="s">
        <v>95</v>
      </c>
      <c r="I21" s="3">
        <v>20</v>
      </c>
      <c r="J21" s="3" t="s">
        <v>4</v>
      </c>
      <c r="K21" s="3">
        <v>0</v>
      </c>
    </row>
    <row r="22" spans="1:11" x14ac:dyDescent="0.3">
      <c r="A22" s="3">
        <v>21</v>
      </c>
      <c r="B22" s="3" t="s">
        <v>27</v>
      </c>
      <c r="C22" s="3" t="str">
        <f t="shared" si="0"/>
        <v>Pendiente</v>
      </c>
      <c r="D22" s="3">
        <f t="shared" si="1"/>
        <v>0</v>
      </c>
      <c r="E22" s="6">
        <v>46270</v>
      </c>
      <c r="F22" s="3" t="s">
        <v>95</v>
      </c>
      <c r="I22" s="3">
        <v>21</v>
      </c>
      <c r="J22" s="3" t="s">
        <v>27</v>
      </c>
      <c r="K22" s="3">
        <v>0</v>
      </c>
    </row>
    <row r="23" spans="1:11" x14ac:dyDescent="0.3">
      <c r="A23" s="3">
        <v>22</v>
      </c>
      <c r="B23" s="3" t="s">
        <v>11</v>
      </c>
      <c r="C23" s="3" t="str">
        <f t="shared" si="0"/>
        <v>Pendiente</v>
      </c>
      <c r="D23" s="3">
        <f t="shared" si="1"/>
        <v>0</v>
      </c>
      <c r="E23" s="6">
        <v>46270</v>
      </c>
      <c r="F23" s="3" t="s">
        <v>95</v>
      </c>
      <c r="I23" s="3">
        <v>22</v>
      </c>
      <c r="J23" s="3" t="s">
        <v>11</v>
      </c>
      <c r="K23" s="3">
        <v>0</v>
      </c>
    </row>
    <row r="24" spans="1:11" x14ac:dyDescent="0.3">
      <c r="A24" s="3">
        <v>23</v>
      </c>
      <c r="B24" s="3" t="s">
        <v>31</v>
      </c>
      <c r="C24" s="3" t="str">
        <f t="shared" si="0"/>
        <v>Pendiente</v>
      </c>
      <c r="D24" s="3">
        <f t="shared" si="1"/>
        <v>0</v>
      </c>
      <c r="E24" s="6">
        <v>46270</v>
      </c>
      <c r="F24" s="3" t="s">
        <v>95</v>
      </c>
      <c r="I24" s="3">
        <v>23</v>
      </c>
      <c r="J24" s="3" t="s">
        <v>31</v>
      </c>
      <c r="K24" s="3">
        <v>0</v>
      </c>
    </row>
    <row r="25" spans="1:11" x14ac:dyDescent="0.3">
      <c r="A25" s="3">
        <v>24</v>
      </c>
      <c r="B25" s="3" t="s">
        <v>5</v>
      </c>
      <c r="C25" s="3" t="str">
        <f t="shared" si="0"/>
        <v>Pendiente</v>
      </c>
      <c r="D25" s="3">
        <f t="shared" si="1"/>
        <v>0</v>
      </c>
      <c r="E25" s="6">
        <v>46270</v>
      </c>
      <c r="F25" s="3" t="s">
        <v>95</v>
      </c>
      <c r="I25" s="3">
        <v>24</v>
      </c>
      <c r="J25" s="3" t="s">
        <v>5</v>
      </c>
      <c r="K25" s="3">
        <v>0</v>
      </c>
    </row>
    <row r="26" spans="1:11" x14ac:dyDescent="0.3">
      <c r="A26" s="3">
        <v>25</v>
      </c>
      <c r="B26" s="3" t="s">
        <v>16</v>
      </c>
      <c r="C26" s="3" t="str">
        <f t="shared" si="0"/>
        <v>Pendiente</v>
      </c>
      <c r="D26" s="3">
        <f t="shared" si="1"/>
        <v>0</v>
      </c>
      <c r="E26" s="6">
        <v>46270</v>
      </c>
      <c r="F26" s="3" t="s">
        <v>95</v>
      </c>
      <c r="I26" s="3">
        <v>25</v>
      </c>
      <c r="J26" s="3" t="s">
        <v>16</v>
      </c>
      <c r="K26" s="3">
        <v>0</v>
      </c>
    </row>
    <row r="27" spans="1:11" x14ac:dyDescent="0.3">
      <c r="A27" s="3">
        <v>26</v>
      </c>
      <c r="B27" s="3" t="s">
        <v>9</v>
      </c>
      <c r="C27" s="3" t="str">
        <f t="shared" si="0"/>
        <v>Entregado</v>
      </c>
      <c r="D27" s="3">
        <f t="shared" si="1"/>
        <v>6</v>
      </c>
      <c r="E27" s="6">
        <v>46270</v>
      </c>
      <c r="F27" s="3" t="s">
        <v>95</v>
      </c>
      <c r="I27" s="3">
        <v>26</v>
      </c>
      <c r="J27" s="3" t="s">
        <v>9</v>
      </c>
      <c r="K27" s="3">
        <v>6</v>
      </c>
    </row>
    <row r="28" spans="1:11" x14ac:dyDescent="0.3">
      <c r="A28" s="3">
        <v>27</v>
      </c>
      <c r="B28" s="3" t="s">
        <v>14</v>
      </c>
      <c r="C28" s="3" t="str">
        <f t="shared" si="0"/>
        <v>Entregado</v>
      </c>
      <c r="D28" s="3">
        <f t="shared" si="1"/>
        <v>6</v>
      </c>
      <c r="E28" s="6">
        <v>46270</v>
      </c>
      <c r="F28" s="3" t="s">
        <v>95</v>
      </c>
      <c r="I28" s="3">
        <v>27</v>
      </c>
      <c r="J28" s="3" t="s">
        <v>14</v>
      </c>
      <c r="K28" s="3">
        <v>6</v>
      </c>
    </row>
    <row r="29" spans="1:11" x14ac:dyDescent="0.3">
      <c r="A29" s="3">
        <v>28</v>
      </c>
      <c r="B29" s="3" t="s">
        <v>15</v>
      </c>
      <c r="C29" s="3" t="str">
        <f t="shared" si="0"/>
        <v>Entregado</v>
      </c>
      <c r="D29" s="3">
        <f t="shared" si="1"/>
        <v>6</v>
      </c>
      <c r="E29" s="6">
        <v>46270</v>
      </c>
      <c r="F29" s="3" t="s">
        <v>95</v>
      </c>
      <c r="I29" s="3">
        <v>28</v>
      </c>
      <c r="J29" s="3" t="s">
        <v>15</v>
      </c>
      <c r="K29" s="3">
        <v>6</v>
      </c>
    </row>
    <row r="30" spans="1:11" x14ac:dyDescent="0.3">
      <c r="A30" s="3">
        <v>29</v>
      </c>
      <c r="B30" s="3" t="s">
        <v>32</v>
      </c>
      <c r="C30" s="3" t="str">
        <f t="shared" si="0"/>
        <v>Entregado</v>
      </c>
      <c r="D30" s="3">
        <f t="shared" si="1"/>
        <v>6</v>
      </c>
      <c r="E30" s="6">
        <v>46270</v>
      </c>
      <c r="F30" s="3" t="s">
        <v>95</v>
      </c>
      <c r="I30" s="3">
        <v>29</v>
      </c>
      <c r="J30" s="3" t="s">
        <v>32</v>
      </c>
      <c r="K30" s="3">
        <v>6</v>
      </c>
    </row>
    <row r="31" spans="1:11" x14ac:dyDescent="0.3">
      <c r="A31" s="3">
        <v>30</v>
      </c>
      <c r="B31" s="3" t="s">
        <v>6</v>
      </c>
      <c r="C31" s="3" t="str">
        <f t="shared" si="0"/>
        <v>Entregado</v>
      </c>
      <c r="D31" s="3">
        <f t="shared" si="1"/>
        <v>6</v>
      </c>
      <c r="E31" s="6">
        <v>46270</v>
      </c>
      <c r="F31" s="3" t="s">
        <v>95</v>
      </c>
      <c r="I31" s="3">
        <v>30</v>
      </c>
      <c r="J31" s="3" t="s">
        <v>6</v>
      </c>
      <c r="K31" s="3">
        <v>6</v>
      </c>
    </row>
    <row r="32" spans="1:11" x14ac:dyDescent="0.3">
      <c r="A32" s="3">
        <v>31</v>
      </c>
      <c r="B32" s="3" t="s">
        <v>23</v>
      </c>
      <c r="C32" s="3" t="str">
        <f t="shared" si="0"/>
        <v>Entregado</v>
      </c>
      <c r="D32" s="3">
        <f t="shared" si="1"/>
        <v>6</v>
      </c>
      <c r="E32" s="6">
        <v>46270</v>
      </c>
      <c r="F32" s="3" t="s">
        <v>95</v>
      </c>
      <c r="I32" s="3">
        <v>31</v>
      </c>
      <c r="J32" s="3" t="s">
        <v>23</v>
      </c>
      <c r="K32" s="3">
        <v>6</v>
      </c>
    </row>
    <row r="33" spans="1:11" x14ac:dyDescent="0.3">
      <c r="A33" s="3">
        <v>32</v>
      </c>
      <c r="B33" s="3" t="s">
        <v>59</v>
      </c>
      <c r="C33" s="3" t="str">
        <f t="shared" si="0"/>
        <v>Entregado</v>
      </c>
      <c r="D33" s="3">
        <f t="shared" si="1"/>
        <v>6</v>
      </c>
      <c r="E33" s="6">
        <v>46270</v>
      </c>
      <c r="F33" s="3" t="s">
        <v>95</v>
      </c>
      <c r="I33" s="3">
        <v>32</v>
      </c>
      <c r="J33" s="3" t="s">
        <v>59</v>
      </c>
      <c r="K33" s="3">
        <v>6</v>
      </c>
    </row>
    <row r="34" spans="1:11" x14ac:dyDescent="0.3">
      <c r="A34" s="3">
        <v>33</v>
      </c>
      <c r="B34" s="3" t="s">
        <v>20</v>
      </c>
      <c r="C34" s="3" t="str">
        <f t="shared" si="0"/>
        <v>Entregado</v>
      </c>
      <c r="D34" s="3">
        <f t="shared" si="1"/>
        <v>5</v>
      </c>
      <c r="E34" s="6">
        <v>46270</v>
      </c>
      <c r="F34" s="3" t="s">
        <v>95</v>
      </c>
      <c r="I34" s="3">
        <v>33</v>
      </c>
      <c r="J34" s="3" t="s">
        <v>20</v>
      </c>
      <c r="K34" s="3">
        <v>5</v>
      </c>
    </row>
    <row r="35" spans="1:11" x14ac:dyDescent="0.3">
      <c r="A35" s="3">
        <v>34</v>
      </c>
      <c r="B35" s="3" t="s">
        <v>18</v>
      </c>
      <c r="C35" s="3" t="str">
        <f t="shared" si="0"/>
        <v>Entregado</v>
      </c>
      <c r="D35" s="3">
        <f t="shared" si="1"/>
        <v>6</v>
      </c>
      <c r="E35" s="6">
        <v>46270</v>
      </c>
      <c r="F35" s="3" t="s">
        <v>95</v>
      </c>
      <c r="I35" s="3">
        <v>34</v>
      </c>
      <c r="J35" s="3" t="s">
        <v>18</v>
      </c>
      <c r="K35" s="3">
        <v>6</v>
      </c>
    </row>
    <row r="36" spans="1:11" x14ac:dyDescent="0.3">
      <c r="A36" s="3">
        <v>35</v>
      </c>
      <c r="B36" s="3" t="s">
        <v>60</v>
      </c>
      <c r="C36" s="3" t="str">
        <f t="shared" si="0"/>
        <v>Pendiente</v>
      </c>
      <c r="D36" s="3">
        <f t="shared" si="1"/>
        <v>0</v>
      </c>
      <c r="E36" s="6">
        <v>46270</v>
      </c>
      <c r="F36" s="3" t="s">
        <v>95</v>
      </c>
      <c r="I36" s="3">
        <v>35</v>
      </c>
      <c r="J36" s="3" t="s">
        <v>60</v>
      </c>
      <c r="K36" s="3">
        <v>0</v>
      </c>
    </row>
    <row r="37" spans="1:11" x14ac:dyDescent="0.3">
      <c r="A37" s="3">
        <v>36</v>
      </c>
      <c r="B37" s="3" t="s">
        <v>12</v>
      </c>
      <c r="C37" s="3" t="str">
        <f t="shared" si="0"/>
        <v>Pendiente</v>
      </c>
      <c r="D37" s="3">
        <f t="shared" si="1"/>
        <v>0</v>
      </c>
      <c r="E37" s="6">
        <v>46270</v>
      </c>
      <c r="F37" s="3" t="s">
        <v>95</v>
      </c>
      <c r="I37" s="3">
        <v>36</v>
      </c>
      <c r="J37" s="3" t="s">
        <v>12</v>
      </c>
      <c r="K37" s="3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F16B-8176-413C-8F87-818F1F4602F8}">
  <dimension ref="A1:K37"/>
  <sheetViews>
    <sheetView zoomScaleNormal="100" workbookViewId="0">
      <selection activeCell="K13" sqref="K13"/>
    </sheetView>
  </sheetViews>
  <sheetFormatPr baseColWidth="10" defaultRowHeight="14.4" x14ac:dyDescent="0.3"/>
  <cols>
    <col min="1" max="1" width="11.5546875" style="3"/>
    <col min="2" max="2" width="49.88671875" style="3" customWidth="1"/>
    <col min="3" max="3" width="11.21875" style="3" customWidth="1"/>
    <col min="4" max="4" width="11.5546875" style="3"/>
    <col min="5" max="5" width="11.5546875" style="6"/>
    <col min="6" max="6" width="11.5546875" style="3"/>
    <col min="7" max="7" width="11.44140625" style="8" customWidth="1"/>
    <col min="8" max="8" width="5.21875" style="8" customWidth="1"/>
    <col min="9" max="9" width="9.44140625" style="8" customWidth="1"/>
    <col min="10" max="10" width="36" style="8" bestFit="1" customWidth="1"/>
    <col min="11" max="12" width="11.5546875" style="8"/>
    <col min="13" max="13" width="4.6640625" style="8" customWidth="1"/>
    <col min="14" max="16384" width="11.5546875" style="8"/>
  </cols>
  <sheetData>
    <row r="1" spans="1:11" x14ac:dyDescent="0.3">
      <c r="A1" s="3" t="s">
        <v>89</v>
      </c>
      <c r="B1" s="3" t="s">
        <v>1</v>
      </c>
      <c r="C1" s="3" t="s">
        <v>90</v>
      </c>
      <c r="D1" s="3" t="s">
        <v>91</v>
      </c>
      <c r="E1" s="6" t="s">
        <v>92</v>
      </c>
      <c r="F1" s="3" t="s">
        <v>93</v>
      </c>
      <c r="G1" s="7"/>
    </row>
    <row r="2" spans="1:11" x14ac:dyDescent="0.3">
      <c r="A2" s="3">
        <v>1</v>
      </c>
      <c r="B2" s="3" t="s">
        <v>19</v>
      </c>
      <c r="C2" s="3" t="str">
        <f>IF(D2&gt;0, "Entregado", "Pendiente")</f>
        <v>Entregado</v>
      </c>
      <c r="D2" s="3">
        <f>K2</f>
        <v>10</v>
      </c>
      <c r="E2" s="6">
        <v>46270</v>
      </c>
      <c r="F2" s="3" t="s">
        <v>96</v>
      </c>
      <c r="I2" s="3">
        <v>1</v>
      </c>
      <c r="J2" s="3" t="s">
        <v>19</v>
      </c>
      <c r="K2" s="3">
        <v>10</v>
      </c>
    </row>
    <row r="3" spans="1:11" x14ac:dyDescent="0.3">
      <c r="A3" s="3">
        <v>2</v>
      </c>
      <c r="B3" s="3" t="s">
        <v>7</v>
      </c>
      <c r="C3" s="3" t="str">
        <f t="shared" ref="C3:C37" si="0">IF(D3&gt;0, "Entregado", "Pendiente")</f>
        <v>Entregado</v>
      </c>
      <c r="D3" s="3">
        <f t="shared" ref="D3:D37" si="1">K3</f>
        <v>10</v>
      </c>
      <c r="E3" s="6">
        <v>46270</v>
      </c>
      <c r="F3" s="3" t="s">
        <v>96</v>
      </c>
      <c r="I3" s="3">
        <v>2</v>
      </c>
      <c r="J3" s="3" t="s">
        <v>7</v>
      </c>
      <c r="K3" s="3">
        <v>10</v>
      </c>
    </row>
    <row r="4" spans="1:11" x14ac:dyDescent="0.3">
      <c r="A4" s="3">
        <v>3</v>
      </c>
      <c r="B4" s="3" t="s">
        <v>30</v>
      </c>
      <c r="C4" s="3" t="str">
        <f t="shared" si="0"/>
        <v>Entregado</v>
      </c>
      <c r="D4" s="3">
        <f t="shared" si="1"/>
        <v>10</v>
      </c>
      <c r="E4" s="6">
        <v>46270</v>
      </c>
      <c r="F4" s="3" t="s">
        <v>96</v>
      </c>
      <c r="I4" s="3">
        <v>3</v>
      </c>
      <c r="J4" s="3" t="s">
        <v>30</v>
      </c>
      <c r="K4" s="3">
        <v>10</v>
      </c>
    </row>
    <row r="5" spans="1:11" x14ac:dyDescent="0.3">
      <c r="A5" s="3">
        <v>4</v>
      </c>
      <c r="B5" s="3" t="s">
        <v>26</v>
      </c>
      <c r="C5" s="3" t="str">
        <f t="shared" si="0"/>
        <v>Entregado</v>
      </c>
      <c r="D5" s="3">
        <f t="shared" si="1"/>
        <v>10</v>
      </c>
      <c r="E5" s="6">
        <v>46270</v>
      </c>
      <c r="F5" s="3" t="s">
        <v>96</v>
      </c>
      <c r="I5" s="3">
        <v>4</v>
      </c>
      <c r="J5" s="3" t="s">
        <v>26</v>
      </c>
      <c r="K5" s="3">
        <v>10</v>
      </c>
    </row>
    <row r="6" spans="1:11" x14ac:dyDescent="0.3">
      <c r="A6" s="3">
        <v>5</v>
      </c>
      <c r="B6" s="3" t="s">
        <v>29</v>
      </c>
      <c r="C6" s="3" t="str">
        <f t="shared" si="0"/>
        <v>Entregado</v>
      </c>
      <c r="D6" s="3">
        <f t="shared" si="1"/>
        <v>10</v>
      </c>
      <c r="E6" s="6">
        <v>46270</v>
      </c>
      <c r="F6" s="3" t="s">
        <v>96</v>
      </c>
      <c r="I6" s="3">
        <v>5</v>
      </c>
      <c r="J6" s="3" t="s">
        <v>29</v>
      </c>
      <c r="K6" s="3">
        <v>10</v>
      </c>
    </row>
    <row r="7" spans="1:11" x14ac:dyDescent="0.3">
      <c r="A7" s="3">
        <v>6</v>
      </c>
      <c r="B7" s="3" t="s">
        <v>56</v>
      </c>
      <c r="C7" s="3" t="str">
        <f t="shared" si="0"/>
        <v>Entregado</v>
      </c>
      <c r="D7" s="3">
        <f t="shared" si="1"/>
        <v>10</v>
      </c>
      <c r="E7" s="6">
        <v>46270</v>
      </c>
      <c r="F7" s="3" t="s">
        <v>96</v>
      </c>
      <c r="I7" s="3">
        <v>6</v>
      </c>
      <c r="J7" s="3" t="s">
        <v>56</v>
      </c>
      <c r="K7" s="3">
        <v>10</v>
      </c>
    </row>
    <row r="8" spans="1:11" x14ac:dyDescent="0.3">
      <c r="A8" s="3">
        <v>7</v>
      </c>
      <c r="B8" s="3" t="s">
        <v>2</v>
      </c>
      <c r="C8" s="3" t="str">
        <f t="shared" si="0"/>
        <v>Entregado</v>
      </c>
      <c r="D8" s="3">
        <f t="shared" si="1"/>
        <v>9</v>
      </c>
      <c r="E8" s="6">
        <v>46270</v>
      </c>
      <c r="F8" s="3" t="s">
        <v>96</v>
      </c>
      <c r="I8" s="3">
        <v>7</v>
      </c>
      <c r="J8" s="3" t="s">
        <v>2</v>
      </c>
      <c r="K8" s="3">
        <v>9</v>
      </c>
    </row>
    <row r="9" spans="1:11" x14ac:dyDescent="0.3">
      <c r="A9" s="3">
        <v>8</v>
      </c>
      <c r="B9" s="3" t="s">
        <v>21</v>
      </c>
      <c r="C9" s="3" t="str">
        <f t="shared" si="0"/>
        <v>Pendiente</v>
      </c>
      <c r="D9" s="3">
        <f t="shared" si="1"/>
        <v>0</v>
      </c>
      <c r="E9" s="6">
        <v>46270</v>
      </c>
      <c r="F9" s="3" t="s">
        <v>96</v>
      </c>
      <c r="I9" s="3">
        <v>8</v>
      </c>
      <c r="J9" s="3" t="s">
        <v>21</v>
      </c>
      <c r="K9" s="3">
        <v>0</v>
      </c>
    </row>
    <row r="10" spans="1:11" x14ac:dyDescent="0.3">
      <c r="A10" s="3">
        <v>9</v>
      </c>
      <c r="B10" s="3" t="s">
        <v>13</v>
      </c>
      <c r="C10" s="3" t="str">
        <f t="shared" si="0"/>
        <v>Pendiente</v>
      </c>
      <c r="D10" s="3">
        <f t="shared" si="1"/>
        <v>0</v>
      </c>
      <c r="E10" s="6">
        <v>46270</v>
      </c>
      <c r="F10" s="3" t="s">
        <v>96</v>
      </c>
      <c r="I10" s="3">
        <v>9</v>
      </c>
      <c r="J10" s="3" t="s">
        <v>13</v>
      </c>
      <c r="K10" s="3">
        <v>0</v>
      </c>
    </row>
    <row r="11" spans="1:11" x14ac:dyDescent="0.3">
      <c r="A11" s="3">
        <v>10</v>
      </c>
      <c r="B11" s="3" t="s">
        <v>3</v>
      </c>
      <c r="C11" s="3" t="str">
        <f t="shared" si="0"/>
        <v>Pendiente</v>
      </c>
      <c r="D11" s="3">
        <f t="shared" si="1"/>
        <v>0</v>
      </c>
      <c r="E11" s="6">
        <v>46270</v>
      </c>
      <c r="F11" s="3" t="s">
        <v>96</v>
      </c>
      <c r="I11" s="3">
        <v>10</v>
      </c>
      <c r="J11" s="3" t="s">
        <v>3</v>
      </c>
      <c r="K11" s="3">
        <v>0</v>
      </c>
    </row>
    <row r="12" spans="1:11" x14ac:dyDescent="0.3">
      <c r="A12" s="3">
        <v>11</v>
      </c>
      <c r="B12" s="3" t="s">
        <v>17</v>
      </c>
      <c r="C12" s="3" t="str">
        <f t="shared" si="0"/>
        <v>Pendiente</v>
      </c>
      <c r="D12" s="3">
        <f t="shared" si="1"/>
        <v>0</v>
      </c>
      <c r="E12" s="6">
        <v>46270</v>
      </c>
      <c r="F12" s="3" t="s">
        <v>96</v>
      </c>
      <c r="I12" s="3">
        <v>11</v>
      </c>
      <c r="J12" s="3" t="s">
        <v>17</v>
      </c>
      <c r="K12" s="3">
        <v>0</v>
      </c>
    </row>
    <row r="13" spans="1:11" x14ac:dyDescent="0.3">
      <c r="A13" s="3">
        <v>12</v>
      </c>
      <c r="B13" s="3" t="s">
        <v>22</v>
      </c>
      <c r="C13" s="3" t="str">
        <f t="shared" si="0"/>
        <v>Entregado</v>
      </c>
      <c r="D13" s="3">
        <f t="shared" si="1"/>
        <v>9</v>
      </c>
      <c r="E13" s="6">
        <v>46270</v>
      </c>
      <c r="F13" s="3" t="s">
        <v>96</v>
      </c>
      <c r="I13" s="3">
        <v>12</v>
      </c>
      <c r="J13" s="3" t="s">
        <v>22</v>
      </c>
      <c r="K13" s="3">
        <v>9</v>
      </c>
    </row>
    <row r="14" spans="1:11" x14ac:dyDescent="0.3">
      <c r="A14" s="3">
        <v>13</v>
      </c>
      <c r="B14" s="3" t="s">
        <v>57</v>
      </c>
      <c r="C14" s="3" t="str">
        <f t="shared" si="0"/>
        <v>Entregado</v>
      </c>
      <c r="D14" s="3">
        <f t="shared" si="1"/>
        <v>9</v>
      </c>
      <c r="E14" s="6">
        <v>46270</v>
      </c>
      <c r="F14" s="3" t="s">
        <v>96</v>
      </c>
      <c r="I14" s="3">
        <v>13</v>
      </c>
      <c r="J14" s="3" t="s">
        <v>57</v>
      </c>
      <c r="K14" s="3">
        <v>9</v>
      </c>
    </row>
    <row r="15" spans="1:11" x14ac:dyDescent="0.3">
      <c r="A15" s="3">
        <v>14</v>
      </c>
      <c r="B15" s="3" t="s">
        <v>58</v>
      </c>
      <c r="C15" s="3" t="str">
        <f t="shared" si="0"/>
        <v>Entregado</v>
      </c>
      <c r="D15" s="3">
        <f t="shared" si="1"/>
        <v>8</v>
      </c>
      <c r="E15" s="6">
        <v>46270</v>
      </c>
      <c r="F15" s="3" t="s">
        <v>96</v>
      </c>
      <c r="I15" s="3">
        <v>14</v>
      </c>
      <c r="J15" s="3" t="s">
        <v>58</v>
      </c>
      <c r="K15" s="3">
        <v>8</v>
      </c>
    </row>
    <row r="16" spans="1:11" x14ac:dyDescent="0.3">
      <c r="A16" s="3">
        <v>15</v>
      </c>
      <c r="B16" s="3" t="s">
        <v>8</v>
      </c>
      <c r="C16" s="3" t="str">
        <f t="shared" si="0"/>
        <v>Entregado</v>
      </c>
      <c r="D16" s="3">
        <f t="shared" si="1"/>
        <v>8</v>
      </c>
      <c r="E16" s="6">
        <v>46270</v>
      </c>
      <c r="F16" s="3" t="s">
        <v>96</v>
      </c>
      <c r="I16" s="3">
        <v>15</v>
      </c>
      <c r="J16" s="3" t="s">
        <v>8</v>
      </c>
      <c r="K16" s="3">
        <v>8</v>
      </c>
    </row>
    <row r="17" spans="1:11" x14ac:dyDescent="0.3">
      <c r="A17" s="3">
        <v>16</v>
      </c>
      <c r="B17" s="3" t="s">
        <v>25</v>
      </c>
      <c r="C17" s="3" t="str">
        <f t="shared" si="0"/>
        <v>Entregado</v>
      </c>
      <c r="D17" s="3">
        <f t="shared" si="1"/>
        <v>8</v>
      </c>
      <c r="E17" s="6">
        <v>46270</v>
      </c>
      <c r="F17" s="3" t="s">
        <v>96</v>
      </c>
      <c r="I17" s="3">
        <v>16</v>
      </c>
      <c r="J17" s="3" t="s">
        <v>25</v>
      </c>
      <c r="K17" s="3">
        <v>8</v>
      </c>
    </row>
    <row r="18" spans="1:11" x14ac:dyDescent="0.3">
      <c r="A18" s="3">
        <v>17</v>
      </c>
      <c r="B18" s="3" t="s">
        <v>28</v>
      </c>
      <c r="C18" s="3" t="str">
        <f t="shared" si="0"/>
        <v>Entregado</v>
      </c>
      <c r="D18" s="3">
        <f t="shared" si="1"/>
        <v>8</v>
      </c>
      <c r="E18" s="6">
        <v>46270</v>
      </c>
      <c r="F18" s="3" t="s">
        <v>96</v>
      </c>
      <c r="I18" s="3">
        <v>17</v>
      </c>
      <c r="J18" s="3" t="s">
        <v>28</v>
      </c>
      <c r="K18" s="3">
        <v>8</v>
      </c>
    </row>
    <row r="19" spans="1:11" x14ac:dyDescent="0.3">
      <c r="A19" s="3">
        <v>18</v>
      </c>
      <c r="B19" s="3" t="s">
        <v>24</v>
      </c>
      <c r="C19" s="3" t="str">
        <f t="shared" si="0"/>
        <v>Entregado</v>
      </c>
      <c r="D19" s="3">
        <f t="shared" si="1"/>
        <v>8</v>
      </c>
      <c r="E19" s="6">
        <v>46270</v>
      </c>
      <c r="F19" s="3" t="s">
        <v>96</v>
      </c>
      <c r="I19" s="3">
        <v>18</v>
      </c>
      <c r="J19" s="3" t="s">
        <v>24</v>
      </c>
      <c r="K19" s="3">
        <v>8</v>
      </c>
    </row>
    <row r="20" spans="1:11" x14ac:dyDescent="0.3">
      <c r="A20" s="3">
        <v>19</v>
      </c>
      <c r="B20" s="3" t="s">
        <v>10</v>
      </c>
      <c r="C20" s="3" t="str">
        <f t="shared" si="0"/>
        <v>Entregado</v>
      </c>
      <c r="D20" s="3">
        <f t="shared" si="1"/>
        <v>8</v>
      </c>
      <c r="E20" s="6">
        <v>46270</v>
      </c>
      <c r="F20" s="3" t="s">
        <v>96</v>
      </c>
      <c r="I20" s="3">
        <v>19</v>
      </c>
      <c r="J20" s="3" t="s">
        <v>10</v>
      </c>
      <c r="K20" s="3">
        <v>8</v>
      </c>
    </row>
    <row r="21" spans="1:11" x14ac:dyDescent="0.3">
      <c r="A21" s="3">
        <v>20</v>
      </c>
      <c r="B21" s="3" t="s">
        <v>4</v>
      </c>
      <c r="C21" s="3" t="str">
        <f t="shared" si="0"/>
        <v>Entregado</v>
      </c>
      <c r="D21" s="3">
        <f t="shared" si="1"/>
        <v>7</v>
      </c>
      <c r="E21" s="6">
        <v>46270</v>
      </c>
      <c r="F21" s="3" t="s">
        <v>96</v>
      </c>
      <c r="I21" s="3">
        <v>20</v>
      </c>
      <c r="J21" s="3" t="s">
        <v>4</v>
      </c>
      <c r="K21" s="3">
        <v>7</v>
      </c>
    </row>
    <row r="22" spans="1:11" x14ac:dyDescent="0.3">
      <c r="A22" s="3">
        <v>21</v>
      </c>
      <c r="B22" s="3" t="s">
        <v>27</v>
      </c>
      <c r="C22" s="3" t="str">
        <f t="shared" si="0"/>
        <v>Entregado</v>
      </c>
      <c r="D22" s="3">
        <f t="shared" si="1"/>
        <v>7</v>
      </c>
      <c r="E22" s="6">
        <v>46270</v>
      </c>
      <c r="F22" s="3" t="s">
        <v>96</v>
      </c>
      <c r="I22" s="3">
        <v>21</v>
      </c>
      <c r="J22" s="3" t="s">
        <v>27</v>
      </c>
      <c r="K22" s="3">
        <v>7</v>
      </c>
    </row>
    <row r="23" spans="1:11" x14ac:dyDescent="0.3">
      <c r="A23" s="3">
        <v>22</v>
      </c>
      <c r="B23" s="3" t="s">
        <v>11</v>
      </c>
      <c r="C23" s="3" t="str">
        <f t="shared" si="0"/>
        <v>Entregado</v>
      </c>
      <c r="D23" s="3">
        <f t="shared" si="1"/>
        <v>7</v>
      </c>
      <c r="E23" s="6">
        <v>46270</v>
      </c>
      <c r="F23" s="3" t="s">
        <v>96</v>
      </c>
      <c r="I23" s="3">
        <v>22</v>
      </c>
      <c r="J23" s="3" t="s">
        <v>11</v>
      </c>
      <c r="K23" s="3">
        <v>7</v>
      </c>
    </row>
    <row r="24" spans="1:11" x14ac:dyDescent="0.3">
      <c r="A24" s="3">
        <v>23</v>
      </c>
      <c r="B24" s="3" t="s">
        <v>31</v>
      </c>
      <c r="C24" s="3" t="str">
        <f t="shared" si="0"/>
        <v>Entregado</v>
      </c>
      <c r="D24" s="3">
        <f t="shared" si="1"/>
        <v>7</v>
      </c>
      <c r="E24" s="6">
        <v>46270</v>
      </c>
      <c r="F24" s="3" t="s">
        <v>96</v>
      </c>
      <c r="I24" s="3">
        <v>23</v>
      </c>
      <c r="J24" s="3" t="s">
        <v>31</v>
      </c>
      <c r="K24" s="3">
        <v>7</v>
      </c>
    </row>
    <row r="25" spans="1:11" x14ac:dyDescent="0.3">
      <c r="A25" s="3">
        <v>24</v>
      </c>
      <c r="B25" s="3" t="s">
        <v>5</v>
      </c>
      <c r="C25" s="3" t="str">
        <f t="shared" si="0"/>
        <v>Entregado</v>
      </c>
      <c r="D25" s="3">
        <f t="shared" si="1"/>
        <v>7</v>
      </c>
      <c r="E25" s="6">
        <v>46270</v>
      </c>
      <c r="F25" s="3" t="s">
        <v>96</v>
      </c>
      <c r="I25" s="3">
        <v>24</v>
      </c>
      <c r="J25" s="3" t="s">
        <v>5</v>
      </c>
      <c r="K25" s="3">
        <v>7</v>
      </c>
    </row>
    <row r="26" spans="1:11" x14ac:dyDescent="0.3">
      <c r="A26" s="3">
        <v>25</v>
      </c>
      <c r="B26" s="3" t="s">
        <v>16</v>
      </c>
      <c r="C26" s="3" t="str">
        <f t="shared" si="0"/>
        <v>Entregado</v>
      </c>
      <c r="D26" s="3">
        <f t="shared" si="1"/>
        <v>5</v>
      </c>
      <c r="E26" s="6">
        <v>46270</v>
      </c>
      <c r="F26" s="3" t="s">
        <v>96</v>
      </c>
      <c r="I26" s="3">
        <v>25</v>
      </c>
      <c r="J26" s="3" t="s">
        <v>16</v>
      </c>
      <c r="K26" s="3">
        <v>5</v>
      </c>
    </row>
    <row r="27" spans="1:11" x14ac:dyDescent="0.3">
      <c r="A27" s="3">
        <v>26</v>
      </c>
      <c r="B27" s="3" t="s">
        <v>9</v>
      </c>
      <c r="C27" s="3" t="str">
        <f t="shared" si="0"/>
        <v>Entregado</v>
      </c>
      <c r="D27" s="3">
        <f t="shared" si="1"/>
        <v>7</v>
      </c>
      <c r="E27" s="6">
        <v>46270</v>
      </c>
      <c r="F27" s="3" t="s">
        <v>96</v>
      </c>
      <c r="I27" s="3">
        <v>26</v>
      </c>
      <c r="J27" s="3" t="s">
        <v>9</v>
      </c>
      <c r="K27" s="3">
        <v>7</v>
      </c>
    </row>
    <row r="28" spans="1:11" x14ac:dyDescent="0.3">
      <c r="A28" s="3">
        <v>27</v>
      </c>
      <c r="B28" s="3" t="s">
        <v>14</v>
      </c>
      <c r="C28" s="3" t="str">
        <f t="shared" si="0"/>
        <v>Entregado</v>
      </c>
      <c r="D28" s="3">
        <f t="shared" si="1"/>
        <v>6</v>
      </c>
      <c r="E28" s="6">
        <v>46270</v>
      </c>
      <c r="F28" s="3" t="s">
        <v>96</v>
      </c>
      <c r="I28" s="3">
        <v>27</v>
      </c>
      <c r="J28" s="3" t="s">
        <v>14</v>
      </c>
      <c r="K28" s="3">
        <v>6</v>
      </c>
    </row>
    <row r="29" spans="1:11" x14ac:dyDescent="0.3">
      <c r="A29" s="3">
        <v>28</v>
      </c>
      <c r="B29" s="3" t="s">
        <v>15</v>
      </c>
      <c r="C29" s="3" t="str">
        <f t="shared" si="0"/>
        <v>Entregado</v>
      </c>
      <c r="D29" s="3">
        <f t="shared" si="1"/>
        <v>6</v>
      </c>
      <c r="E29" s="6">
        <v>46270</v>
      </c>
      <c r="F29" s="3" t="s">
        <v>96</v>
      </c>
      <c r="I29" s="3">
        <v>28</v>
      </c>
      <c r="J29" s="3" t="s">
        <v>15</v>
      </c>
      <c r="K29" s="3">
        <v>6</v>
      </c>
    </row>
    <row r="30" spans="1:11" x14ac:dyDescent="0.3">
      <c r="A30" s="3">
        <v>29</v>
      </c>
      <c r="B30" s="3" t="s">
        <v>32</v>
      </c>
      <c r="C30" s="3" t="str">
        <f t="shared" si="0"/>
        <v>Entregado</v>
      </c>
      <c r="D30" s="3">
        <f t="shared" si="1"/>
        <v>6</v>
      </c>
      <c r="E30" s="6">
        <v>46270</v>
      </c>
      <c r="F30" s="3" t="s">
        <v>96</v>
      </c>
      <c r="I30" s="3">
        <v>29</v>
      </c>
      <c r="J30" s="3" t="s">
        <v>32</v>
      </c>
      <c r="K30" s="3">
        <v>6</v>
      </c>
    </row>
    <row r="31" spans="1:11" x14ac:dyDescent="0.3">
      <c r="A31" s="3">
        <v>30</v>
      </c>
      <c r="B31" s="3" t="s">
        <v>6</v>
      </c>
      <c r="C31" s="3" t="str">
        <f t="shared" si="0"/>
        <v>Entregado</v>
      </c>
      <c r="D31" s="3">
        <f t="shared" si="1"/>
        <v>6</v>
      </c>
      <c r="E31" s="6">
        <v>46270</v>
      </c>
      <c r="F31" s="3" t="s">
        <v>96</v>
      </c>
      <c r="I31" s="3">
        <v>30</v>
      </c>
      <c r="J31" s="3" t="s">
        <v>6</v>
      </c>
      <c r="K31" s="3">
        <v>6</v>
      </c>
    </row>
    <row r="32" spans="1:11" x14ac:dyDescent="0.3">
      <c r="A32" s="3">
        <v>31</v>
      </c>
      <c r="B32" s="3" t="s">
        <v>23</v>
      </c>
      <c r="C32" s="3" t="str">
        <f t="shared" si="0"/>
        <v>Entregado</v>
      </c>
      <c r="D32" s="3">
        <f t="shared" si="1"/>
        <v>6</v>
      </c>
      <c r="E32" s="6">
        <v>46270</v>
      </c>
      <c r="F32" s="3" t="s">
        <v>96</v>
      </c>
      <c r="I32" s="3">
        <v>31</v>
      </c>
      <c r="J32" s="3" t="s">
        <v>23</v>
      </c>
      <c r="K32" s="3">
        <v>6</v>
      </c>
    </row>
    <row r="33" spans="1:11" x14ac:dyDescent="0.3">
      <c r="A33" s="3">
        <v>32</v>
      </c>
      <c r="B33" s="3" t="s">
        <v>59</v>
      </c>
      <c r="C33" s="3" t="str">
        <f t="shared" si="0"/>
        <v>Entregado</v>
      </c>
      <c r="D33" s="3">
        <f t="shared" si="1"/>
        <v>6</v>
      </c>
      <c r="E33" s="6">
        <v>46270</v>
      </c>
      <c r="F33" s="3" t="s">
        <v>96</v>
      </c>
      <c r="I33" s="3">
        <v>32</v>
      </c>
      <c r="J33" s="3" t="s">
        <v>59</v>
      </c>
      <c r="K33" s="3">
        <v>6</v>
      </c>
    </row>
    <row r="34" spans="1:11" x14ac:dyDescent="0.3">
      <c r="A34" s="3">
        <v>33</v>
      </c>
      <c r="B34" s="3" t="s">
        <v>20</v>
      </c>
      <c r="C34" s="3" t="str">
        <f t="shared" si="0"/>
        <v>Entregado</v>
      </c>
      <c r="D34" s="3">
        <f t="shared" si="1"/>
        <v>6</v>
      </c>
      <c r="E34" s="6">
        <v>46270</v>
      </c>
      <c r="F34" s="3" t="s">
        <v>96</v>
      </c>
      <c r="I34" s="3">
        <v>33</v>
      </c>
      <c r="J34" s="3" t="s">
        <v>20</v>
      </c>
      <c r="K34" s="3">
        <v>6</v>
      </c>
    </row>
    <row r="35" spans="1:11" x14ac:dyDescent="0.3">
      <c r="A35" s="3">
        <v>34</v>
      </c>
      <c r="B35" s="3" t="s">
        <v>18</v>
      </c>
      <c r="C35" s="3" t="str">
        <f t="shared" si="0"/>
        <v>Entregado</v>
      </c>
      <c r="D35" s="3">
        <f t="shared" si="1"/>
        <v>6</v>
      </c>
      <c r="E35" s="6">
        <v>46270</v>
      </c>
      <c r="F35" s="3" t="s">
        <v>96</v>
      </c>
      <c r="I35" s="3">
        <v>34</v>
      </c>
      <c r="J35" s="3" t="s">
        <v>18</v>
      </c>
      <c r="K35" s="3">
        <v>6</v>
      </c>
    </row>
    <row r="36" spans="1:11" x14ac:dyDescent="0.3">
      <c r="A36" s="3">
        <v>35</v>
      </c>
      <c r="B36" s="3" t="s">
        <v>60</v>
      </c>
      <c r="C36" s="3" t="str">
        <f t="shared" si="0"/>
        <v>Entregado</v>
      </c>
      <c r="D36" s="3">
        <f t="shared" si="1"/>
        <v>6</v>
      </c>
      <c r="E36" s="6">
        <v>46270</v>
      </c>
      <c r="F36" s="3" t="s">
        <v>96</v>
      </c>
      <c r="I36" s="3">
        <v>35</v>
      </c>
      <c r="J36" s="3" t="s">
        <v>60</v>
      </c>
      <c r="K36" s="3">
        <v>6</v>
      </c>
    </row>
    <row r="37" spans="1:11" x14ac:dyDescent="0.3">
      <c r="A37" s="3">
        <v>36</v>
      </c>
      <c r="B37" s="3" t="s">
        <v>12</v>
      </c>
      <c r="C37" s="3" t="str">
        <f t="shared" si="0"/>
        <v>Entregado</v>
      </c>
      <c r="D37" s="3">
        <f t="shared" si="1"/>
        <v>6</v>
      </c>
      <c r="E37" s="6">
        <v>46270</v>
      </c>
      <c r="F37" s="3" t="s">
        <v>96</v>
      </c>
      <c r="I37" s="3">
        <v>36</v>
      </c>
      <c r="J37" s="3" t="s">
        <v>12</v>
      </c>
      <c r="K37" s="3">
        <v>6</v>
      </c>
    </row>
  </sheetData>
  <phoneticPr fontId="1" type="noConversion"/>
  <pageMargins left="0.25" right="0.25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359A-C146-43CC-97D8-35A2F59D0530}">
  <dimension ref="A1:K37"/>
  <sheetViews>
    <sheetView topLeftCell="B1" workbookViewId="0">
      <selection activeCell="K15" sqref="K15"/>
    </sheetView>
  </sheetViews>
  <sheetFormatPr baseColWidth="10" defaultRowHeight="14.4" x14ac:dyDescent="0.3"/>
  <cols>
    <col min="1" max="1" width="11.5546875" style="3"/>
    <col min="2" max="2" width="49.88671875" style="3" customWidth="1"/>
    <col min="3" max="3" width="11.21875" style="3" customWidth="1"/>
    <col min="4" max="4" width="11.5546875" style="3"/>
    <col min="5" max="5" width="11.5546875" style="6"/>
    <col min="6" max="6" width="11.5546875" style="3"/>
    <col min="7" max="7" width="36" style="3" bestFit="1" customWidth="1"/>
    <col min="8" max="8" width="11.77734375" style="3" customWidth="1"/>
    <col min="9" max="9" width="18.5546875" style="3" bestFit="1" customWidth="1"/>
    <col min="10" max="16384" width="11.5546875" style="3"/>
  </cols>
  <sheetData>
    <row r="1" spans="1:11" x14ac:dyDescent="0.3">
      <c r="A1" s="3" t="s">
        <v>89</v>
      </c>
      <c r="B1" s="3" t="s">
        <v>1</v>
      </c>
      <c r="C1" s="3" t="s">
        <v>90</v>
      </c>
      <c r="D1" s="3" t="s">
        <v>91</v>
      </c>
      <c r="E1" s="6" t="s">
        <v>92</v>
      </c>
      <c r="F1" s="3" t="s">
        <v>93</v>
      </c>
    </row>
    <row r="2" spans="1:11" x14ac:dyDescent="0.3">
      <c r="A2" s="3">
        <v>1</v>
      </c>
      <c r="B2" s="3" t="s">
        <v>19</v>
      </c>
      <c r="C2" s="3" t="str">
        <f>IF(D2&gt;0, "Entregado", "Pendiente")</f>
        <v>Entregado</v>
      </c>
      <c r="D2" s="3">
        <f>K2</f>
        <v>8</v>
      </c>
      <c r="E2" s="6">
        <v>46270</v>
      </c>
      <c r="F2" s="3" t="s">
        <v>97</v>
      </c>
      <c r="I2" s="3">
        <v>1</v>
      </c>
      <c r="J2" s="3" t="s">
        <v>19</v>
      </c>
      <c r="K2" s="3">
        <v>8</v>
      </c>
    </row>
    <row r="3" spans="1:11" x14ac:dyDescent="0.3">
      <c r="A3" s="3">
        <v>2</v>
      </c>
      <c r="B3" s="3" t="s">
        <v>7</v>
      </c>
      <c r="C3" s="3" t="str">
        <f t="shared" ref="C3:C37" si="0">IF(D3&gt;0, "Entregado", "Pendiente")</f>
        <v>Entregado</v>
      </c>
      <c r="D3" s="3">
        <f t="shared" ref="D3:D37" si="1">K3</f>
        <v>8</v>
      </c>
      <c r="E3" s="6">
        <v>46270</v>
      </c>
      <c r="F3" s="3" t="s">
        <v>97</v>
      </c>
      <c r="I3" s="3">
        <v>2</v>
      </c>
      <c r="J3" s="3" t="s">
        <v>7</v>
      </c>
      <c r="K3" s="3">
        <v>8</v>
      </c>
    </row>
    <row r="4" spans="1:11" x14ac:dyDescent="0.3">
      <c r="A4" s="3">
        <v>3</v>
      </c>
      <c r="B4" s="3" t="s">
        <v>30</v>
      </c>
      <c r="C4" s="3" t="str">
        <f t="shared" si="0"/>
        <v>Entregado</v>
      </c>
      <c r="D4" s="3">
        <f t="shared" si="1"/>
        <v>8</v>
      </c>
      <c r="E4" s="6">
        <v>46270</v>
      </c>
      <c r="F4" s="3" t="s">
        <v>97</v>
      </c>
      <c r="I4" s="3">
        <v>3</v>
      </c>
      <c r="J4" s="3" t="s">
        <v>30</v>
      </c>
      <c r="K4" s="3">
        <v>8</v>
      </c>
    </row>
    <row r="5" spans="1:11" x14ac:dyDescent="0.3">
      <c r="A5" s="3">
        <v>4</v>
      </c>
      <c r="B5" s="3" t="s">
        <v>26</v>
      </c>
      <c r="C5" s="3" t="str">
        <f t="shared" si="0"/>
        <v>Entregado</v>
      </c>
      <c r="D5" s="3">
        <f t="shared" si="1"/>
        <v>8</v>
      </c>
      <c r="E5" s="6">
        <v>46270</v>
      </c>
      <c r="F5" s="3" t="s">
        <v>97</v>
      </c>
      <c r="I5" s="3">
        <v>4</v>
      </c>
      <c r="J5" s="3" t="s">
        <v>26</v>
      </c>
      <c r="K5" s="3">
        <v>8</v>
      </c>
    </row>
    <row r="6" spans="1:11" x14ac:dyDescent="0.3">
      <c r="A6" s="3">
        <v>5</v>
      </c>
      <c r="B6" s="3" t="s">
        <v>29</v>
      </c>
      <c r="C6" s="3" t="str">
        <f t="shared" si="0"/>
        <v>Entregado</v>
      </c>
      <c r="D6" s="3">
        <f t="shared" si="1"/>
        <v>8</v>
      </c>
      <c r="E6" s="6">
        <v>46270</v>
      </c>
      <c r="F6" s="3" t="s">
        <v>97</v>
      </c>
      <c r="I6" s="3">
        <v>5</v>
      </c>
      <c r="J6" s="3" t="s">
        <v>29</v>
      </c>
      <c r="K6" s="3">
        <v>8</v>
      </c>
    </row>
    <row r="7" spans="1:11" x14ac:dyDescent="0.3">
      <c r="A7" s="3">
        <v>6</v>
      </c>
      <c r="B7" s="3" t="s">
        <v>56</v>
      </c>
      <c r="C7" s="3" t="str">
        <f t="shared" si="0"/>
        <v>Entregado</v>
      </c>
      <c r="D7" s="3">
        <f t="shared" si="1"/>
        <v>8</v>
      </c>
      <c r="E7" s="6">
        <v>46270</v>
      </c>
      <c r="F7" s="3" t="s">
        <v>97</v>
      </c>
      <c r="I7" s="3">
        <v>6</v>
      </c>
      <c r="J7" s="3" t="s">
        <v>56</v>
      </c>
      <c r="K7" s="3">
        <v>8</v>
      </c>
    </row>
    <row r="8" spans="1:11" x14ac:dyDescent="0.3">
      <c r="A8" s="3">
        <v>7</v>
      </c>
      <c r="B8" s="3" t="s">
        <v>2</v>
      </c>
      <c r="C8" s="3" t="str">
        <f t="shared" si="0"/>
        <v>Entregado</v>
      </c>
      <c r="D8" s="3">
        <f t="shared" si="1"/>
        <v>8</v>
      </c>
      <c r="E8" s="6">
        <v>46270</v>
      </c>
      <c r="F8" s="3" t="s">
        <v>97</v>
      </c>
      <c r="I8" s="3">
        <v>7</v>
      </c>
      <c r="J8" s="3" t="s">
        <v>2</v>
      </c>
      <c r="K8" s="3">
        <v>8</v>
      </c>
    </row>
    <row r="9" spans="1:11" x14ac:dyDescent="0.3">
      <c r="A9" s="3">
        <v>8</v>
      </c>
      <c r="B9" s="3" t="s">
        <v>21</v>
      </c>
      <c r="C9" s="3" t="str">
        <f t="shared" si="0"/>
        <v>Entregado</v>
      </c>
      <c r="D9" s="3">
        <f t="shared" si="1"/>
        <v>7</v>
      </c>
      <c r="E9" s="6">
        <v>46270</v>
      </c>
      <c r="F9" s="3" t="s">
        <v>97</v>
      </c>
      <c r="I9" s="3">
        <v>8</v>
      </c>
      <c r="J9" s="3" t="s">
        <v>21</v>
      </c>
      <c r="K9" s="3">
        <v>7</v>
      </c>
    </row>
    <row r="10" spans="1:11" x14ac:dyDescent="0.3">
      <c r="A10" s="3">
        <v>9</v>
      </c>
      <c r="B10" s="3" t="s">
        <v>13</v>
      </c>
      <c r="C10" s="3" t="str">
        <f t="shared" si="0"/>
        <v>Entregado</v>
      </c>
      <c r="D10" s="3">
        <f t="shared" si="1"/>
        <v>7</v>
      </c>
      <c r="E10" s="6">
        <v>46270</v>
      </c>
      <c r="F10" s="3" t="s">
        <v>97</v>
      </c>
      <c r="I10" s="3">
        <v>9</v>
      </c>
      <c r="J10" s="3" t="s">
        <v>13</v>
      </c>
      <c r="K10" s="3">
        <v>7</v>
      </c>
    </row>
    <row r="11" spans="1:11" x14ac:dyDescent="0.3">
      <c r="A11" s="3">
        <v>10</v>
      </c>
      <c r="B11" s="3" t="s">
        <v>3</v>
      </c>
      <c r="C11" s="3" t="str">
        <f t="shared" si="0"/>
        <v>Pendiente</v>
      </c>
      <c r="D11" s="3">
        <f t="shared" si="1"/>
        <v>0</v>
      </c>
      <c r="E11" s="6">
        <v>46270</v>
      </c>
      <c r="F11" s="3" t="s">
        <v>97</v>
      </c>
      <c r="I11" s="3">
        <v>10</v>
      </c>
      <c r="J11" s="3" t="s">
        <v>3</v>
      </c>
      <c r="K11" s="3">
        <v>0</v>
      </c>
    </row>
    <row r="12" spans="1:11" x14ac:dyDescent="0.3">
      <c r="A12" s="3">
        <v>11</v>
      </c>
      <c r="B12" s="3" t="s">
        <v>17</v>
      </c>
      <c r="C12" s="3" t="str">
        <f t="shared" si="0"/>
        <v>Pendiente</v>
      </c>
      <c r="D12" s="3">
        <f t="shared" si="1"/>
        <v>0</v>
      </c>
      <c r="E12" s="6">
        <v>46270</v>
      </c>
      <c r="F12" s="3" t="s">
        <v>97</v>
      </c>
      <c r="I12" s="3">
        <v>11</v>
      </c>
      <c r="J12" s="3" t="s">
        <v>17</v>
      </c>
      <c r="K12" s="3">
        <v>0</v>
      </c>
    </row>
    <row r="13" spans="1:11" x14ac:dyDescent="0.3">
      <c r="A13" s="3">
        <v>12</v>
      </c>
      <c r="B13" s="3" t="s">
        <v>22</v>
      </c>
      <c r="C13" s="3" t="str">
        <f t="shared" si="0"/>
        <v>Pendiente</v>
      </c>
      <c r="D13" s="3">
        <f t="shared" si="1"/>
        <v>0</v>
      </c>
      <c r="E13" s="6">
        <v>46270</v>
      </c>
      <c r="F13" s="3" t="s">
        <v>97</v>
      </c>
      <c r="I13" s="3">
        <v>12</v>
      </c>
      <c r="J13" s="3" t="s">
        <v>22</v>
      </c>
      <c r="K13" s="3">
        <v>0</v>
      </c>
    </row>
    <row r="14" spans="1:11" x14ac:dyDescent="0.3">
      <c r="A14" s="3">
        <v>13</v>
      </c>
      <c r="B14" s="3" t="s">
        <v>57</v>
      </c>
      <c r="C14" s="3" t="str">
        <f t="shared" si="0"/>
        <v>Pendiente</v>
      </c>
      <c r="D14" s="3">
        <f t="shared" si="1"/>
        <v>0</v>
      </c>
      <c r="E14" s="6">
        <v>46270</v>
      </c>
      <c r="F14" s="3" t="s">
        <v>97</v>
      </c>
      <c r="I14" s="3">
        <v>13</v>
      </c>
      <c r="J14" s="3" t="s">
        <v>57</v>
      </c>
      <c r="K14" s="3">
        <v>0</v>
      </c>
    </row>
    <row r="15" spans="1:11" x14ac:dyDescent="0.3">
      <c r="A15" s="3">
        <v>14</v>
      </c>
      <c r="B15" s="3" t="s">
        <v>58</v>
      </c>
      <c r="C15" s="3" t="str">
        <f t="shared" si="0"/>
        <v>Entregado</v>
      </c>
      <c r="D15" s="3">
        <f t="shared" si="1"/>
        <v>7</v>
      </c>
      <c r="E15" s="6">
        <v>46270</v>
      </c>
      <c r="F15" s="3" t="s">
        <v>97</v>
      </c>
      <c r="I15" s="3">
        <v>14</v>
      </c>
      <c r="J15" s="3" t="s">
        <v>58</v>
      </c>
      <c r="K15" s="3">
        <v>7</v>
      </c>
    </row>
    <row r="16" spans="1:11" x14ac:dyDescent="0.3">
      <c r="A16" s="3">
        <v>15</v>
      </c>
      <c r="B16" s="3" t="s">
        <v>8</v>
      </c>
      <c r="C16" s="3" t="str">
        <f t="shared" si="0"/>
        <v>Entregado</v>
      </c>
      <c r="D16" s="3">
        <f t="shared" si="1"/>
        <v>7</v>
      </c>
      <c r="E16" s="6">
        <v>46270</v>
      </c>
      <c r="F16" s="3" t="s">
        <v>97</v>
      </c>
      <c r="I16" s="3">
        <v>15</v>
      </c>
      <c r="J16" s="3" t="s">
        <v>8</v>
      </c>
      <c r="K16" s="3">
        <v>7</v>
      </c>
    </row>
    <row r="17" spans="1:11" x14ac:dyDescent="0.3">
      <c r="A17" s="3">
        <v>16</v>
      </c>
      <c r="B17" s="3" t="s">
        <v>25</v>
      </c>
      <c r="C17" s="3" t="str">
        <f t="shared" si="0"/>
        <v>Pendiente</v>
      </c>
      <c r="D17" s="3">
        <f t="shared" si="1"/>
        <v>0</v>
      </c>
      <c r="E17" s="6">
        <v>46270</v>
      </c>
      <c r="F17" s="3" t="s">
        <v>97</v>
      </c>
      <c r="I17" s="3">
        <v>16</v>
      </c>
      <c r="J17" s="3" t="s">
        <v>25</v>
      </c>
      <c r="K17" s="3">
        <v>0</v>
      </c>
    </row>
    <row r="18" spans="1:11" x14ac:dyDescent="0.3">
      <c r="A18" s="3">
        <v>17</v>
      </c>
      <c r="B18" s="3" t="s">
        <v>28</v>
      </c>
      <c r="C18" s="3" t="str">
        <f t="shared" si="0"/>
        <v>Entregado</v>
      </c>
      <c r="D18" s="3">
        <f t="shared" si="1"/>
        <v>6</v>
      </c>
      <c r="E18" s="6">
        <v>46270</v>
      </c>
      <c r="F18" s="3" t="s">
        <v>97</v>
      </c>
      <c r="I18" s="3">
        <v>17</v>
      </c>
      <c r="J18" s="3" t="s">
        <v>28</v>
      </c>
      <c r="K18" s="3">
        <v>6</v>
      </c>
    </row>
    <row r="19" spans="1:11" x14ac:dyDescent="0.3">
      <c r="A19" s="3">
        <v>18</v>
      </c>
      <c r="B19" s="3" t="s">
        <v>24</v>
      </c>
      <c r="C19" s="3" t="str">
        <f t="shared" si="0"/>
        <v>Entregado</v>
      </c>
      <c r="D19" s="3">
        <f t="shared" si="1"/>
        <v>6</v>
      </c>
      <c r="E19" s="6">
        <v>46270</v>
      </c>
      <c r="F19" s="3" t="s">
        <v>97</v>
      </c>
      <c r="I19" s="3">
        <v>18</v>
      </c>
      <c r="J19" s="3" t="s">
        <v>24</v>
      </c>
      <c r="K19" s="3">
        <v>6</v>
      </c>
    </row>
    <row r="20" spans="1:11" x14ac:dyDescent="0.3">
      <c r="A20" s="3">
        <v>19</v>
      </c>
      <c r="B20" s="3" t="s">
        <v>10</v>
      </c>
      <c r="C20" s="3" t="str">
        <f t="shared" si="0"/>
        <v>Entregado</v>
      </c>
      <c r="D20" s="3">
        <f t="shared" si="1"/>
        <v>6</v>
      </c>
      <c r="E20" s="6">
        <v>46270</v>
      </c>
      <c r="F20" s="3" t="s">
        <v>97</v>
      </c>
      <c r="I20" s="3">
        <v>19</v>
      </c>
      <c r="J20" s="3" t="s">
        <v>10</v>
      </c>
      <c r="K20" s="3">
        <v>6</v>
      </c>
    </row>
    <row r="21" spans="1:11" x14ac:dyDescent="0.3">
      <c r="A21" s="3">
        <v>20</v>
      </c>
      <c r="B21" s="3" t="s">
        <v>4</v>
      </c>
      <c r="C21" s="3" t="str">
        <f t="shared" si="0"/>
        <v>Pendiente</v>
      </c>
      <c r="D21" s="3">
        <f t="shared" si="1"/>
        <v>0</v>
      </c>
      <c r="E21" s="6">
        <v>46270</v>
      </c>
      <c r="F21" s="3" t="s">
        <v>97</v>
      </c>
      <c r="I21" s="3">
        <v>20</v>
      </c>
      <c r="J21" s="3" t="s">
        <v>4</v>
      </c>
      <c r="K21" s="3">
        <v>0</v>
      </c>
    </row>
    <row r="22" spans="1:11" x14ac:dyDescent="0.3">
      <c r="A22" s="3">
        <v>21</v>
      </c>
      <c r="B22" s="3" t="s">
        <v>27</v>
      </c>
      <c r="C22" s="3" t="str">
        <f t="shared" si="0"/>
        <v>Entregado</v>
      </c>
      <c r="D22" s="3">
        <f t="shared" si="1"/>
        <v>6</v>
      </c>
      <c r="E22" s="6">
        <v>46270</v>
      </c>
      <c r="F22" s="3" t="s">
        <v>97</v>
      </c>
      <c r="I22" s="3">
        <v>21</v>
      </c>
      <c r="J22" s="3" t="s">
        <v>27</v>
      </c>
      <c r="K22" s="3">
        <v>6</v>
      </c>
    </row>
    <row r="23" spans="1:11" x14ac:dyDescent="0.3">
      <c r="A23" s="3">
        <v>22</v>
      </c>
      <c r="B23" s="3" t="s">
        <v>11</v>
      </c>
      <c r="C23" s="3" t="str">
        <f t="shared" si="0"/>
        <v>Entregado</v>
      </c>
      <c r="D23" s="3">
        <f t="shared" si="1"/>
        <v>6</v>
      </c>
      <c r="E23" s="6">
        <v>46270</v>
      </c>
      <c r="F23" s="3" t="s">
        <v>97</v>
      </c>
      <c r="I23" s="3">
        <v>22</v>
      </c>
      <c r="J23" s="3" t="s">
        <v>11</v>
      </c>
      <c r="K23" s="3">
        <v>6</v>
      </c>
    </row>
    <row r="24" spans="1:11" x14ac:dyDescent="0.3">
      <c r="A24" s="3">
        <v>23</v>
      </c>
      <c r="B24" s="3" t="s">
        <v>31</v>
      </c>
      <c r="C24" s="3" t="str">
        <f t="shared" si="0"/>
        <v>Entregado</v>
      </c>
      <c r="D24" s="3">
        <f t="shared" si="1"/>
        <v>6</v>
      </c>
      <c r="E24" s="6">
        <v>46270</v>
      </c>
      <c r="F24" s="3" t="s">
        <v>97</v>
      </c>
      <c r="I24" s="3">
        <v>23</v>
      </c>
      <c r="J24" s="3" t="s">
        <v>31</v>
      </c>
      <c r="K24" s="3">
        <v>6</v>
      </c>
    </row>
    <row r="25" spans="1:11" x14ac:dyDescent="0.3">
      <c r="A25" s="3">
        <v>24</v>
      </c>
      <c r="B25" s="3" t="s">
        <v>5</v>
      </c>
      <c r="C25" s="3" t="str">
        <f t="shared" si="0"/>
        <v>Entregado</v>
      </c>
      <c r="D25" s="3">
        <f t="shared" si="1"/>
        <v>6</v>
      </c>
      <c r="E25" s="6">
        <v>46270</v>
      </c>
      <c r="F25" s="3" t="s">
        <v>97</v>
      </c>
      <c r="I25" s="3">
        <v>24</v>
      </c>
      <c r="J25" s="3" t="s">
        <v>5</v>
      </c>
      <c r="K25" s="3">
        <v>6</v>
      </c>
    </row>
    <row r="26" spans="1:11" x14ac:dyDescent="0.3">
      <c r="A26" s="3">
        <v>25</v>
      </c>
      <c r="B26" s="3" t="s">
        <v>16</v>
      </c>
      <c r="C26" s="3" t="str">
        <f t="shared" si="0"/>
        <v>Entregado</v>
      </c>
      <c r="D26" s="3">
        <f t="shared" si="1"/>
        <v>6</v>
      </c>
      <c r="E26" s="6">
        <v>46270</v>
      </c>
      <c r="F26" s="3" t="s">
        <v>97</v>
      </c>
      <c r="I26" s="3">
        <v>25</v>
      </c>
      <c r="J26" s="3" t="s">
        <v>16</v>
      </c>
      <c r="K26" s="3">
        <v>6</v>
      </c>
    </row>
    <row r="27" spans="1:11" x14ac:dyDescent="0.3">
      <c r="A27" s="3">
        <v>26</v>
      </c>
      <c r="B27" s="3" t="s">
        <v>9</v>
      </c>
      <c r="C27" s="3" t="str">
        <f t="shared" si="0"/>
        <v>Entregado</v>
      </c>
      <c r="D27" s="3">
        <f t="shared" si="1"/>
        <v>6</v>
      </c>
      <c r="E27" s="6">
        <v>46270</v>
      </c>
      <c r="F27" s="3" t="s">
        <v>97</v>
      </c>
      <c r="I27" s="3">
        <v>26</v>
      </c>
      <c r="J27" s="3" t="s">
        <v>9</v>
      </c>
      <c r="K27" s="3">
        <v>6</v>
      </c>
    </row>
    <row r="28" spans="1:11" x14ac:dyDescent="0.3">
      <c r="A28" s="3">
        <v>27</v>
      </c>
      <c r="B28" s="3" t="s">
        <v>14</v>
      </c>
      <c r="C28" s="3" t="str">
        <f t="shared" si="0"/>
        <v>Entregado</v>
      </c>
      <c r="D28" s="3">
        <f t="shared" si="1"/>
        <v>6</v>
      </c>
      <c r="E28" s="6">
        <v>46270</v>
      </c>
      <c r="F28" s="3" t="s">
        <v>97</v>
      </c>
      <c r="I28" s="3">
        <v>27</v>
      </c>
      <c r="J28" s="3" t="s">
        <v>14</v>
      </c>
      <c r="K28" s="3">
        <v>6</v>
      </c>
    </row>
    <row r="29" spans="1:11" x14ac:dyDescent="0.3">
      <c r="A29" s="3">
        <v>28</v>
      </c>
      <c r="B29" s="3" t="s">
        <v>15</v>
      </c>
      <c r="C29" s="3" t="str">
        <f t="shared" si="0"/>
        <v>Entregado</v>
      </c>
      <c r="D29" s="3">
        <f t="shared" si="1"/>
        <v>6</v>
      </c>
      <c r="E29" s="6">
        <v>46270</v>
      </c>
      <c r="F29" s="3" t="s">
        <v>97</v>
      </c>
      <c r="I29" s="3">
        <v>28</v>
      </c>
      <c r="J29" s="3" t="s">
        <v>15</v>
      </c>
      <c r="K29" s="3">
        <v>6</v>
      </c>
    </row>
    <row r="30" spans="1:11" x14ac:dyDescent="0.3">
      <c r="A30" s="3">
        <v>29</v>
      </c>
      <c r="B30" s="3" t="s">
        <v>32</v>
      </c>
      <c r="C30" s="3" t="str">
        <f t="shared" si="0"/>
        <v>Entregado</v>
      </c>
      <c r="D30" s="3">
        <f t="shared" si="1"/>
        <v>6</v>
      </c>
      <c r="E30" s="6">
        <v>46270</v>
      </c>
      <c r="F30" s="3" t="s">
        <v>97</v>
      </c>
      <c r="I30" s="3">
        <v>29</v>
      </c>
      <c r="J30" s="3" t="s">
        <v>32</v>
      </c>
      <c r="K30" s="3">
        <v>6</v>
      </c>
    </row>
    <row r="31" spans="1:11" x14ac:dyDescent="0.3">
      <c r="A31" s="3">
        <v>30</v>
      </c>
      <c r="B31" s="3" t="s">
        <v>6</v>
      </c>
      <c r="C31" s="3" t="str">
        <f t="shared" si="0"/>
        <v>Entregado</v>
      </c>
      <c r="D31" s="3">
        <f t="shared" si="1"/>
        <v>6</v>
      </c>
      <c r="E31" s="6">
        <v>46270</v>
      </c>
      <c r="F31" s="3" t="s">
        <v>97</v>
      </c>
      <c r="I31" s="3">
        <v>30</v>
      </c>
      <c r="J31" s="3" t="s">
        <v>6</v>
      </c>
      <c r="K31" s="3">
        <v>6</v>
      </c>
    </row>
    <row r="32" spans="1:11" x14ac:dyDescent="0.3">
      <c r="A32" s="3">
        <v>31</v>
      </c>
      <c r="B32" s="3" t="s">
        <v>23</v>
      </c>
      <c r="C32" s="3" t="str">
        <f t="shared" si="0"/>
        <v>Entregado</v>
      </c>
      <c r="D32" s="3">
        <f t="shared" si="1"/>
        <v>6</v>
      </c>
      <c r="E32" s="6">
        <v>46270</v>
      </c>
      <c r="F32" s="3" t="s">
        <v>97</v>
      </c>
      <c r="I32" s="3">
        <v>31</v>
      </c>
      <c r="J32" s="3" t="s">
        <v>23</v>
      </c>
      <c r="K32" s="3">
        <v>6</v>
      </c>
    </row>
    <row r="33" spans="1:11" x14ac:dyDescent="0.3">
      <c r="A33" s="3">
        <v>32</v>
      </c>
      <c r="B33" s="3" t="s">
        <v>59</v>
      </c>
      <c r="C33" s="3" t="str">
        <f t="shared" si="0"/>
        <v>Entregado</v>
      </c>
      <c r="D33" s="3">
        <f t="shared" si="1"/>
        <v>6</v>
      </c>
      <c r="E33" s="6">
        <v>46270</v>
      </c>
      <c r="F33" s="3" t="s">
        <v>97</v>
      </c>
      <c r="I33" s="3">
        <v>32</v>
      </c>
      <c r="J33" s="3" t="s">
        <v>59</v>
      </c>
      <c r="K33" s="3">
        <v>6</v>
      </c>
    </row>
    <row r="34" spans="1:11" x14ac:dyDescent="0.3">
      <c r="A34" s="3">
        <v>33</v>
      </c>
      <c r="B34" s="3" t="s">
        <v>20</v>
      </c>
      <c r="C34" s="3" t="str">
        <f t="shared" si="0"/>
        <v>Entregado</v>
      </c>
      <c r="D34" s="3">
        <f t="shared" si="1"/>
        <v>5</v>
      </c>
      <c r="E34" s="6">
        <v>46270</v>
      </c>
      <c r="F34" s="3" t="s">
        <v>97</v>
      </c>
      <c r="I34" s="3">
        <v>33</v>
      </c>
      <c r="J34" s="3" t="s">
        <v>20</v>
      </c>
      <c r="K34" s="3">
        <v>5</v>
      </c>
    </row>
    <row r="35" spans="1:11" x14ac:dyDescent="0.3">
      <c r="A35" s="3">
        <v>34</v>
      </c>
      <c r="B35" s="3" t="s">
        <v>18</v>
      </c>
      <c r="C35" s="3" t="str">
        <f t="shared" si="0"/>
        <v>Entregado</v>
      </c>
      <c r="D35" s="3">
        <f t="shared" si="1"/>
        <v>6</v>
      </c>
      <c r="E35" s="6">
        <v>46270</v>
      </c>
      <c r="F35" s="3" t="s">
        <v>97</v>
      </c>
      <c r="I35" s="3">
        <v>34</v>
      </c>
      <c r="J35" s="3" t="s">
        <v>18</v>
      </c>
      <c r="K35" s="3">
        <v>6</v>
      </c>
    </row>
    <row r="36" spans="1:11" x14ac:dyDescent="0.3">
      <c r="A36" s="3">
        <v>35</v>
      </c>
      <c r="B36" s="3" t="s">
        <v>60</v>
      </c>
      <c r="C36" s="3" t="str">
        <f t="shared" si="0"/>
        <v>Pendiente</v>
      </c>
      <c r="D36" s="3">
        <f t="shared" si="1"/>
        <v>0</v>
      </c>
      <c r="E36" s="6">
        <v>46270</v>
      </c>
      <c r="F36" s="3" t="s">
        <v>97</v>
      </c>
      <c r="I36" s="3">
        <v>35</v>
      </c>
      <c r="J36" s="3" t="s">
        <v>60</v>
      </c>
      <c r="K36" s="3">
        <v>0</v>
      </c>
    </row>
    <row r="37" spans="1:11" x14ac:dyDescent="0.3">
      <c r="A37" s="3">
        <v>36</v>
      </c>
      <c r="B37" s="3" t="s">
        <v>12</v>
      </c>
      <c r="C37" s="3" t="str">
        <f t="shared" si="0"/>
        <v>Pendiente</v>
      </c>
      <c r="D37" s="3">
        <f t="shared" si="1"/>
        <v>0</v>
      </c>
      <c r="E37" s="6">
        <v>46270</v>
      </c>
      <c r="F37" s="3" t="s">
        <v>97</v>
      </c>
      <c r="I37" s="3">
        <v>36</v>
      </c>
      <c r="J37" s="3" t="s">
        <v>12</v>
      </c>
      <c r="K37" s="3"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78479-DEFF-4968-BF40-040D77239730}">
  <dimension ref="A1:I35"/>
  <sheetViews>
    <sheetView zoomScale="70" zoomScaleNormal="70" workbookViewId="0">
      <selection activeCell="H2" sqref="H2"/>
    </sheetView>
  </sheetViews>
  <sheetFormatPr baseColWidth="10" defaultRowHeight="14.4" x14ac:dyDescent="0.3"/>
  <cols>
    <col min="2" max="2" width="49.88671875" customWidth="1"/>
  </cols>
  <sheetData>
    <row r="1" spans="1:9" x14ac:dyDescent="0.3">
      <c r="A1" t="s">
        <v>0</v>
      </c>
      <c r="B1" t="s">
        <v>1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98</v>
      </c>
      <c r="H1" s="1" t="s">
        <v>99</v>
      </c>
    </row>
    <row r="2" spans="1:9" x14ac:dyDescent="0.3">
      <c r="A2">
        <v>1</v>
      </c>
      <c r="B2" t="s">
        <v>19</v>
      </c>
      <c r="C2">
        <v>2</v>
      </c>
      <c r="D2">
        <v>2</v>
      </c>
      <c r="E2">
        <v>2</v>
      </c>
      <c r="F2">
        <v>2</v>
      </c>
      <c r="G2">
        <f>H2-$I$2</f>
        <v>0</v>
      </c>
      <c r="H2">
        <f>SUM(C2:F2)</f>
        <v>8</v>
      </c>
      <c r="I2">
        <f>SUM(C22:F22)</f>
        <v>8</v>
      </c>
    </row>
    <row r="3" spans="1:9" x14ac:dyDescent="0.3">
      <c r="A3">
        <v>2</v>
      </c>
      <c r="B3" t="s">
        <v>7</v>
      </c>
      <c r="C3">
        <v>2</v>
      </c>
      <c r="D3">
        <v>0</v>
      </c>
      <c r="E3">
        <v>1</v>
      </c>
      <c r="F3">
        <v>2</v>
      </c>
      <c r="G3">
        <f t="shared" ref="G3:G35" si="0">H3-$I$2</f>
        <v>-3</v>
      </c>
      <c r="H3">
        <f>SUM(C3:F3)</f>
        <v>5</v>
      </c>
    </row>
    <row r="4" spans="1:9" x14ac:dyDescent="0.3">
      <c r="A4">
        <v>3</v>
      </c>
      <c r="B4" t="s">
        <v>30</v>
      </c>
      <c r="C4">
        <v>0</v>
      </c>
      <c r="D4">
        <v>2</v>
      </c>
      <c r="E4">
        <v>2</v>
      </c>
      <c r="F4">
        <v>2</v>
      </c>
      <c r="G4">
        <f t="shared" si="0"/>
        <v>-2</v>
      </c>
      <c r="H4">
        <f>SUM(C4:F4)</f>
        <v>6</v>
      </c>
    </row>
    <row r="5" spans="1:9" x14ac:dyDescent="0.3">
      <c r="A5">
        <v>4</v>
      </c>
      <c r="B5" t="s">
        <v>26</v>
      </c>
      <c r="C5">
        <v>0</v>
      </c>
      <c r="D5">
        <v>2</v>
      </c>
      <c r="E5">
        <v>2</v>
      </c>
      <c r="F5">
        <v>2</v>
      </c>
      <c r="G5">
        <f t="shared" si="0"/>
        <v>-2</v>
      </c>
      <c r="H5">
        <f>SUM(C5:F5)</f>
        <v>6</v>
      </c>
    </row>
    <row r="6" spans="1:9" x14ac:dyDescent="0.3">
      <c r="A6">
        <v>5</v>
      </c>
      <c r="B6" t="s">
        <v>29</v>
      </c>
      <c r="C6">
        <v>0</v>
      </c>
      <c r="D6">
        <v>1</v>
      </c>
      <c r="E6">
        <v>0</v>
      </c>
      <c r="F6">
        <v>2</v>
      </c>
      <c r="G6">
        <f t="shared" si="0"/>
        <v>-5</v>
      </c>
      <c r="H6">
        <f>SUM(C6:F6)</f>
        <v>3</v>
      </c>
    </row>
    <row r="7" spans="1:9" x14ac:dyDescent="0.3">
      <c r="A7">
        <v>6</v>
      </c>
      <c r="B7" t="s">
        <v>56</v>
      </c>
      <c r="C7">
        <v>0</v>
      </c>
      <c r="D7">
        <v>2</v>
      </c>
      <c r="E7">
        <v>2</v>
      </c>
      <c r="F7">
        <v>0</v>
      </c>
      <c r="G7">
        <f t="shared" si="0"/>
        <v>-4</v>
      </c>
      <c r="H7">
        <f>SUM(C7:F7)</f>
        <v>4</v>
      </c>
    </row>
    <row r="8" spans="1:9" x14ac:dyDescent="0.3">
      <c r="A8">
        <v>7</v>
      </c>
      <c r="B8" t="s">
        <v>2</v>
      </c>
      <c r="C8">
        <v>2</v>
      </c>
      <c r="D8">
        <v>2</v>
      </c>
      <c r="E8">
        <v>2</v>
      </c>
      <c r="F8">
        <v>2</v>
      </c>
      <c r="G8">
        <f t="shared" si="0"/>
        <v>0</v>
      </c>
      <c r="H8">
        <f>SUM(C8:F8)</f>
        <v>8</v>
      </c>
    </row>
    <row r="9" spans="1:9" x14ac:dyDescent="0.3">
      <c r="A9">
        <v>8</v>
      </c>
      <c r="B9" t="s">
        <v>21</v>
      </c>
      <c r="C9">
        <v>2</v>
      </c>
      <c r="D9">
        <v>2</v>
      </c>
      <c r="E9">
        <v>2</v>
      </c>
      <c r="F9">
        <v>2</v>
      </c>
      <c r="G9">
        <f t="shared" si="0"/>
        <v>0</v>
      </c>
      <c r="H9">
        <f>SUM(C9:F9)</f>
        <v>8</v>
      </c>
    </row>
    <row r="10" spans="1:9" x14ac:dyDescent="0.3">
      <c r="A10">
        <v>9</v>
      </c>
      <c r="B10" t="s">
        <v>3</v>
      </c>
      <c r="C10">
        <v>0</v>
      </c>
      <c r="D10">
        <v>0</v>
      </c>
      <c r="E10">
        <v>0</v>
      </c>
      <c r="F10">
        <v>2</v>
      </c>
      <c r="G10">
        <f t="shared" si="0"/>
        <v>-6</v>
      </c>
      <c r="H10">
        <f>SUM(C10:F10)</f>
        <v>2</v>
      </c>
    </row>
    <row r="11" spans="1:9" x14ac:dyDescent="0.3">
      <c r="A11">
        <v>10</v>
      </c>
      <c r="B11" t="s">
        <v>17</v>
      </c>
      <c r="C11">
        <v>0</v>
      </c>
      <c r="D11">
        <v>1</v>
      </c>
      <c r="E11">
        <v>1</v>
      </c>
      <c r="F11">
        <v>2</v>
      </c>
      <c r="G11">
        <f t="shared" si="0"/>
        <v>-4</v>
      </c>
      <c r="H11">
        <f>SUM(C11:F11)</f>
        <v>4</v>
      </c>
    </row>
    <row r="12" spans="1:9" x14ac:dyDescent="0.3">
      <c r="A12">
        <v>11</v>
      </c>
      <c r="B12" t="s">
        <v>22</v>
      </c>
      <c r="C12">
        <v>0</v>
      </c>
      <c r="D12">
        <v>0</v>
      </c>
      <c r="E12">
        <v>0</v>
      </c>
      <c r="F12">
        <v>2</v>
      </c>
      <c r="G12">
        <f t="shared" si="0"/>
        <v>-6</v>
      </c>
      <c r="H12">
        <f>SUM(C12:F12)</f>
        <v>2</v>
      </c>
    </row>
    <row r="13" spans="1:9" x14ac:dyDescent="0.3">
      <c r="A13">
        <v>12</v>
      </c>
      <c r="B13" t="s">
        <v>57</v>
      </c>
      <c r="C13">
        <v>2</v>
      </c>
      <c r="D13">
        <v>2</v>
      </c>
      <c r="E13">
        <v>2</v>
      </c>
      <c r="F13">
        <v>2</v>
      </c>
      <c r="G13">
        <f t="shared" si="0"/>
        <v>0</v>
      </c>
      <c r="H13">
        <f>SUM(C13:F13)</f>
        <v>8</v>
      </c>
    </row>
    <row r="14" spans="1:9" x14ac:dyDescent="0.3">
      <c r="A14">
        <v>13</v>
      </c>
      <c r="B14" t="s">
        <v>58</v>
      </c>
      <c r="C14">
        <v>2</v>
      </c>
      <c r="D14">
        <v>2</v>
      </c>
      <c r="E14">
        <v>2</v>
      </c>
      <c r="F14">
        <v>2</v>
      </c>
      <c r="G14">
        <f t="shared" si="0"/>
        <v>0</v>
      </c>
      <c r="H14">
        <f>SUM(C14:F14)</f>
        <v>8</v>
      </c>
    </row>
    <row r="15" spans="1:9" x14ac:dyDescent="0.3">
      <c r="A15">
        <v>14</v>
      </c>
      <c r="B15" t="s">
        <v>8</v>
      </c>
      <c r="C15">
        <v>2</v>
      </c>
      <c r="D15">
        <v>1</v>
      </c>
      <c r="E15">
        <v>0</v>
      </c>
      <c r="F15">
        <v>2</v>
      </c>
      <c r="G15">
        <f t="shared" si="0"/>
        <v>-3</v>
      </c>
      <c r="H15">
        <f>SUM(C15:F15)</f>
        <v>5</v>
      </c>
    </row>
    <row r="16" spans="1:9" x14ac:dyDescent="0.3">
      <c r="A16">
        <v>15</v>
      </c>
      <c r="B16" t="s">
        <v>25</v>
      </c>
      <c r="C16">
        <v>2</v>
      </c>
      <c r="D16">
        <v>0</v>
      </c>
      <c r="E16">
        <v>2</v>
      </c>
      <c r="F16">
        <v>2</v>
      </c>
      <c r="G16">
        <f t="shared" si="0"/>
        <v>-2</v>
      </c>
      <c r="H16">
        <f>SUM(C16:F16)</f>
        <v>6</v>
      </c>
    </row>
    <row r="17" spans="1:8" x14ac:dyDescent="0.3">
      <c r="A17">
        <v>16</v>
      </c>
      <c r="B17" t="s">
        <v>28</v>
      </c>
      <c r="C17">
        <v>2</v>
      </c>
      <c r="D17">
        <v>2</v>
      </c>
      <c r="E17">
        <v>2</v>
      </c>
      <c r="F17">
        <v>2</v>
      </c>
      <c r="G17">
        <f t="shared" si="0"/>
        <v>0</v>
      </c>
      <c r="H17">
        <f>SUM(C17:F17)</f>
        <v>8</v>
      </c>
    </row>
    <row r="18" spans="1:8" x14ac:dyDescent="0.3">
      <c r="A18">
        <v>17</v>
      </c>
      <c r="B18" t="s">
        <v>24</v>
      </c>
      <c r="C18">
        <v>2</v>
      </c>
      <c r="D18">
        <v>0</v>
      </c>
      <c r="E18">
        <v>2</v>
      </c>
      <c r="F18">
        <v>2</v>
      </c>
      <c r="G18">
        <f t="shared" si="0"/>
        <v>-2</v>
      </c>
      <c r="H18">
        <f>SUM(C18:F18)</f>
        <v>6</v>
      </c>
    </row>
    <row r="19" spans="1:8" x14ac:dyDescent="0.3">
      <c r="A19">
        <v>18</v>
      </c>
      <c r="B19" t="s">
        <v>10</v>
      </c>
      <c r="C19">
        <v>2</v>
      </c>
      <c r="D19">
        <v>2</v>
      </c>
      <c r="E19">
        <v>2</v>
      </c>
      <c r="F19">
        <v>2</v>
      </c>
      <c r="G19">
        <f t="shared" si="0"/>
        <v>0</v>
      </c>
      <c r="H19">
        <f>SUM(C19:F19)</f>
        <v>8</v>
      </c>
    </row>
    <row r="20" spans="1:8" x14ac:dyDescent="0.3">
      <c r="A20">
        <v>19</v>
      </c>
      <c r="B20" t="s">
        <v>4</v>
      </c>
      <c r="C20">
        <v>2</v>
      </c>
      <c r="D20">
        <v>2</v>
      </c>
      <c r="E20">
        <v>2</v>
      </c>
      <c r="F20">
        <v>2</v>
      </c>
      <c r="G20">
        <f t="shared" si="0"/>
        <v>0</v>
      </c>
      <c r="H20">
        <f>SUM(C20:F20)</f>
        <v>8</v>
      </c>
    </row>
    <row r="21" spans="1:8" x14ac:dyDescent="0.3">
      <c r="A21">
        <v>20</v>
      </c>
      <c r="B21" t="s">
        <v>27</v>
      </c>
      <c r="C21">
        <v>2</v>
      </c>
      <c r="D21">
        <v>2</v>
      </c>
      <c r="E21">
        <v>2</v>
      </c>
      <c r="F21">
        <v>2</v>
      </c>
      <c r="G21">
        <f t="shared" si="0"/>
        <v>0</v>
      </c>
      <c r="H21">
        <f>SUM(C21:F21)</f>
        <v>8</v>
      </c>
    </row>
    <row r="22" spans="1:8" x14ac:dyDescent="0.3">
      <c r="A22">
        <v>21</v>
      </c>
      <c r="B22" t="s">
        <v>11</v>
      </c>
      <c r="C22">
        <v>2</v>
      </c>
      <c r="D22">
        <v>2</v>
      </c>
      <c r="E22">
        <v>2</v>
      </c>
      <c r="F22">
        <v>2</v>
      </c>
      <c r="G22">
        <f t="shared" si="0"/>
        <v>0</v>
      </c>
      <c r="H22">
        <f>SUM(C22:F22)</f>
        <v>8</v>
      </c>
    </row>
    <row r="23" spans="1:8" x14ac:dyDescent="0.3">
      <c r="A23">
        <v>22</v>
      </c>
      <c r="B23" t="s">
        <v>31</v>
      </c>
      <c r="C23">
        <v>2</v>
      </c>
      <c r="D23">
        <v>1</v>
      </c>
      <c r="E23">
        <v>1</v>
      </c>
      <c r="F23">
        <v>2</v>
      </c>
      <c r="G23">
        <f t="shared" si="0"/>
        <v>-2</v>
      </c>
      <c r="H23">
        <f>SUM(C23:F23)</f>
        <v>6</v>
      </c>
    </row>
    <row r="24" spans="1:8" x14ac:dyDescent="0.3">
      <c r="A24">
        <v>23</v>
      </c>
      <c r="B24" t="s">
        <v>5</v>
      </c>
      <c r="C24">
        <v>2</v>
      </c>
      <c r="D24">
        <v>2</v>
      </c>
      <c r="E24">
        <v>2</v>
      </c>
      <c r="F24">
        <v>2</v>
      </c>
      <c r="G24">
        <f t="shared" si="0"/>
        <v>0</v>
      </c>
      <c r="H24">
        <f>SUM(C24:F24)</f>
        <v>8</v>
      </c>
    </row>
    <row r="25" spans="1:8" x14ac:dyDescent="0.3">
      <c r="A25">
        <v>24</v>
      </c>
      <c r="B25" s="2" t="s">
        <v>16</v>
      </c>
      <c r="C25" s="2">
        <v>2</v>
      </c>
      <c r="D25" s="2">
        <v>0</v>
      </c>
      <c r="E25" s="2">
        <v>0</v>
      </c>
      <c r="F25" s="2">
        <v>0</v>
      </c>
      <c r="G25">
        <f t="shared" si="0"/>
        <v>-6</v>
      </c>
      <c r="H25">
        <f>SUM(C25:F25)</f>
        <v>2</v>
      </c>
    </row>
    <row r="26" spans="1:8" x14ac:dyDescent="0.3">
      <c r="A26">
        <v>25</v>
      </c>
      <c r="B26" t="s">
        <v>9</v>
      </c>
      <c r="C26">
        <v>2</v>
      </c>
      <c r="D26">
        <v>0</v>
      </c>
      <c r="E26">
        <v>2</v>
      </c>
      <c r="F26">
        <v>2</v>
      </c>
      <c r="G26">
        <f t="shared" si="0"/>
        <v>-2</v>
      </c>
      <c r="H26">
        <f>SUM(C26:F26)</f>
        <v>6</v>
      </c>
    </row>
    <row r="27" spans="1:8" x14ac:dyDescent="0.3">
      <c r="A27">
        <v>26</v>
      </c>
      <c r="B27" t="s">
        <v>15</v>
      </c>
      <c r="C27">
        <v>0</v>
      </c>
      <c r="D27">
        <v>1</v>
      </c>
      <c r="E27">
        <v>2</v>
      </c>
      <c r="F27">
        <v>2</v>
      </c>
      <c r="G27">
        <f t="shared" si="0"/>
        <v>-3</v>
      </c>
      <c r="H27">
        <f>SUM(C27:F27)</f>
        <v>5</v>
      </c>
    </row>
    <row r="28" spans="1:8" x14ac:dyDescent="0.3">
      <c r="A28">
        <v>27</v>
      </c>
      <c r="B28" t="s">
        <v>32</v>
      </c>
      <c r="C28">
        <v>2</v>
      </c>
      <c r="D28">
        <v>2</v>
      </c>
      <c r="E28">
        <v>0</v>
      </c>
      <c r="F28">
        <v>2</v>
      </c>
      <c r="G28">
        <f t="shared" si="0"/>
        <v>-2</v>
      </c>
      <c r="H28">
        <f>SUM(C28:F28)</f>
        <v>6</v>
      </c>
    </row>
    <row r="29" spans="1:8" x14ac:dyDescent="0.3">
      <c r="A29">
        <v>28</v>
      </c>
      <c r="B29" t="s">
        <v>6</v>
      </c>
      <c r="C29">
        <v>2</v>
      </c>
      <c r="D29">
        <v>2</v>
      </c>
      <c r="E29">
        <v>2</v>
      </c>
      <c r="F29">
        <v>2</v>
      </c>
      <c r="G29">
        <f t="shared" si="0"/>
        <v>0</v>
      </c>
      <c r="H29">
        <f>SUM(C29:F29)</f>
        <v>8</v>
      </c>
    </row>
    <row r="30" spans="1:8" x14ac:dyDescent="0.3">
      <c r="A30">
        <v>29</v>
      </c>
      <c r="B30" t="s">
        <v>23</v>
      </c>
      <c r="C30">
        <v>0</v>
      </c>
      <c r="D30">
        <v>2</v>
      </c>
      <c r="E30">
        <v>0</v>
      </c>
      <c r="F30">
        <v>2</v>
      </c>
      <c r="G30">
        <f t="shared" si="0"/>
        <v>-4</v>
      </c>
      <c r="H30">
        <f>SUM(C30:F30)</f>
        <v>4</v>
      </c>
    </row>
    <row r="31" spans="1:8" x14ac:dyDescent="0.3">
      <c r="A31">
        <v>30</v>
      </c>
      <c r="B31" t="s">
        <v>59</v>
      </c>
      <c r="C31">
        <v>2</v>
      </c>
      <c r="D31">
        <v>2</v>
      </c>
      <c r="E31">
        <v>0</v>
      </c>
      <c r="F31">
        <v>2</v>
      </c>
      <c r="G31">
        <f t="shared" si="0"/>
        <v>-2</v>
      </c>
      <c r="H31">
        <f>SUM(C31:F31)</f>
        <v>6</v>
      </c>
    </row>
    <row r="32" spans="1:8" x14ac:dyDescent="0.3">
      <c r="A32">
        <v>31</v>
      </c>
      <c r="B32" t="s">
        <v>20</v>
      </c>
      <c r="C32">
        <v>2</v>
      </c>
      <c r="D32">
        <v>2</v>
      </c>
      <c r="E32">
        <v>2</v>
      </c>
      <c r="F32">
        <v>2</v>
      </c>
      <c r="G32">
        <f t="shared" si="0"/>
        <v>0</v>
      </c>
      <c r="H32">
        <f>SUM(C32:F32)</f>
        <v>8</v>
      </c>
    </row>
    <row r="33" spans="1:8" x14ac:dyDescent="0.3">
      <c r="A33">
        <v>32</v>
      </c>
      <c r="B33" t="s">
        <v>18</v>
      </c>
      <c r="C33">
        <v>2</v>
      </c>
      <c r="D33">
        <v>1</v>
      </c>
      <c r="E33">
        <v>1</v>
      </c>
      <c r="F33">
        <v>2</v>
      </c>
      <c r="G33">
        <f t="shared" si="0"/>
        <v>-2</v>
      </c>
      <c r="H33">
        <f>SUM(C33:F33)</f>
        <v>6</v>
      </c>
    </row>
    <row r="34" spans="1:8" x14ac:dyDescent="0.3">
      <c r="A34">
        <v>33</v>
      </c>
      <c r="B34" t="s">
        <v>60</v>
      </c>
      <c r="C34">
        <v>2</v>
      </c>
      <c r="D34">
        <v>2</v>
      </c>
      <c r="E34">
        <v>2</v>
      </c>
      <c r="F34">
        <v>2</v>
      </c>
      <c r="G34">
        <f t="shared" si="0"/>
        <v>0</v>
      </c>
      <c r="H34">
        <f>SUM(C34:F34)</f>
        <v>8</v>
      </c>
    </row>
    <row r="35" spans="1:8" x14ac:dyDescent="0.3">
      <c r="A35">
        <v>34</v>
      </c>
      <c r="B35" t="s">
        <v>12</v>
      </c>
      <c r="C35">
        <v>2</v>
      </c>
      <c r="D35">
        <v>2</v>
      </c>
      <c r="E35">
        <v>2</v>
      </c>
      <c r="F35">
        <v>2</v>
      </c>
      <c r="G35">
        <f t="shared" si="0"/>
        <v>0</v>
      </c>
      <c r="H35">
        <f>SUM(C35:F35)</f>
        <v>8</v>
      </c>
    </row>
  </sheetData>
  <sortState xmlns:xlrd2="http://schemas.microsoft.com/office/spreadsheetml/2017/richdata2" ref="A2:F35">
    <sortCondition ref="B2:B3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examen</vt:lpstr>
      <vt:lpstr>Tarea 1</vt:lpstr>
      <vt:lpstr>Tarea 2</vt:lpstr>
      <vt:lpstr>Tarea 3</vt:lpstr>
      <vt:lpstr>Tarea 4</vt:lpstr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Ludwing Iturbe Ortiz</cp:lastModifiedBy>
  <cp:lastPrinted>2026-03-19T15:53:28Z</cp:lastPrinted>
  <dcterms:created xsi:type="dcterms:W3CDTF">2025-09-08T23:23:36Z</dcterms:created>
  <dcterms:modified xsi:type="dcterms:W3CDTF">2026-08-29T22:56:34Z</dcterms:modified>
</cp:coreProperties>
</file>