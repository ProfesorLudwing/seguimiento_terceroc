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os\Aplicación\"/>
    </mc:Choice>
  </mc:AlternateContent>
  <xr:revisionPtr revIDLastSave="0" documentId="8_{BA46B167-CE16-44F9-B5EA-84A03BFE3A9C}" xr6:coauthVersionLast="47" xr6:coauthVersionMax="47" xr10:uidLastSave="{00000000-0000-0000-0000-000000000000}"/>
  <bookViews>
    <workbookView xWindow="-108" yWindow="-108" windowWidth="23256" windowHeight="12456" firstSheet="1" activeTab="1" xr2:uid="{860D9088-AF40-430A-BF27-1EC4C3DD7AE8}"/>
  </bookViews>
  <sheets>
    <sheet name="examen" sheetId="22" r:id="rId1"/>
    <sheet name="MAqueta manual" sheetId="19" r:id="rId2"/>
    <sheet name="MAqueta" sheetId="17" r:id="rId3"/>
    <sheet name="evaluacion" sheetId="12" r:id="rId4"/>
    <sheet name="libro" sheetId="9" r:id="rId5"/>
    <sheet name="lista" sheetId="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19" l="1"/>
  <c r="C4" i="19"/>
  <c r="C5" i="19"/>
  <c r="C6" i="19"/>
  <c r="C7" i="19"/>
  <c r="C8" i="19"/>
  <c r="C9" i="19"/>
  <c r="C10" i="19"/>
  <c r="C11" i="19"/>
  <c r="C12" i="19"/>
  <c r="C13" i="19"/>
  <c r="C14" i="19"/>
  <c r="C15" i="19"/>
  <c r="C16" i="19"/>
  <c r="C17" i="19"/>
  <c r="C18" i="19"/>
  <c r="C19" i="19"/>
  <c r="C20" i="19"/>
  <c r="C21" i="19"/>
  <c r="C22" i="19"/>
  <c r="C23" i="19"/>
  <c r="C24" i="19"/>
  <c r="C25" i="19"/>
  <c r="C26" i="19"/>
  <c r="C27" i="19"/>
  <c r="C28" i="19"/>
  <c r="C29" i="19"/>
  <c r="C30" i="19"/>
  <c r="C31" i="19"/>
  <c r="C32" i="19"/>
  <c r="C33" i="19"/>
  <c r="C34" i="19"/>
  <c r="C35" i="19"/>
  <c r="C36" i="19"/>
  <c r="C37" i="19"/>
  <c r="C2" i="19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2" i="1"/>
  <c r="L2" i="1"/>
  <c r="C37" i="22" l="1"/>
  <c r="C36" i="22"/>
  <c r="C35" i="22"/>
  <c r="C34" i="22"/>
  <c r="C33" i="22"/>
  <c r="C32" i="22"/>
  <c r="C31" i="22"/>
  <c r="C30" i="22"/>
  <c r="C29" i="22"/>
  <c r="C28" i="22"/>
  <c r="C27" i="22"/>
  <c r="C26" i="22"/>
  <c r="C25" i="22"/>
  <c r="C24" i="22"/>
  <c r="C23" i="22"/>
  <c r="C22" i="22"/>
  <c r="C21" i="22"/>
  <c r="C20" i="22"/>
  <c r="C19" i="22"/>
  <c r="C18" i="22"/>
  <c r="C17" i="22"/>
  <c r="C16" i="22"/>
  <c r="C15" i="22"/>
  <c r="C14" i="22"/>
  <c r="C13" i="22"/>
  <c r="C12" i="22"/>
  <c r="C11" i="22"/>
  <c r="C10" i="22"/>
  <c r="C9" i="22"/>
  <c r="C8" i="22"/>
  <c r="C7" i="22"/>
  <c r="C6" i="22"/>
  <c r="C5" i="22"/>
  <c r="C4" i="22"/>
  <c r="C3" i="22"/>
  <c r="C2" i="22"/>
  <c r="C37" i="17"/>
  <c r="C36" i="17"/>
  <c r="C35" i="17"/>
  <c r="C34" i="17"/>
  <c r="C33" i="17"/>
  <c r="C32" i="17"/>
  <c r="C31" i="17"/>
  <c r="C30" i="17"/>
  <c r="C29" i="17"/>
  <c r="D28" i="12" s="1"/>
  <c r="C28" i="17"/>
  <c r="C27" i="17"/>
  <c r="C26" i="17"/>
  <c r="D26" i="12" s="1"/>
  <c r="C25" i="17"/>
  <c r="C24" i="17"/>
  <c r="C23" i="17"/>
  <c r="C22" i="17"/>
  <c r="C21" i="17"/>
  <c r="C20" i="17"/>
  <c r="C19" i="17"/>
  <c r="C18" i="17"/>
  <c r="C17" i="17"/>
  <c r="D17" i="12" s="1"/>
  <c r="C16" i="17"/>
  <c r="C15" i="17"/>
  <c r="C14" i="17"/>
  <c r="C13" i="17"/>
  <c r="C12" i="17"/>
  <c r="C11" i="17"/>
  <c r="C10" i="17"/>
  <c r="C9" i="17"/>
  <c r="C8" i="17"/>
  <c r="C7" i="17"/>
  <c r="C6" i="17"/>
  <c r="C5" i="17"/>
  <c r="C4" i="17"/>
  <c r="C3" i="17"/>
  <c r="C2" i="17"/>
  <c r="D3" i="19"/>
  <c r="E4" i="12"/>
  <c r="D6" i="12"/>
  <c r="D11" i="12"/>
  <c r="D13" i="12"/>
  <c r="D19" i="12"/>
  <c r="D31" i="12"/>
  <c r="D33" i="12"/>
  <c r="D36" i="12"/>
  <c r="C5" i="12" l="1"/>
  <c r="C7" i="12"/>
  <c r="C8" i="12"/>
  <c r="C10" i="12"/>
  <c r="C11" i="12"/>
  <c r="C12" i="12"/>
  <c r="C13" i="12"/>
  <c r="C15" i="12"/>
  <c r="C16" i="12"/>
  <c r="C17" i="12"/>
  <c r="C19" i="12"/>
  <c r="C23" i="12"/>
  <c r="C24" i="12"/>
  <c r="C26" i="12"/>
  <c r="C27" i="12"/>
  <c r="C28" i="12"/>
  <c r="C29" i="12"/>
  <c r="C31" i="12"/>
  <c r="C34" i="12"/>
  <c r="C36" i="12"/>
  <c r="D37" i="19" l="1"/>
  <c r="D36" i="19"/>
  <c r="E35" i="12" s="1"/>
  <c r="D35" i="19"/>
  <c r="E34" i="12" s="1"/>
  <c r="D34" i="19"/>
  <c r="D33" i="19"/>
  <c r="D32" i="19"/>
  <c r="D31" i="19"/>
  <c r="E30" i="12" s="1"/>
  <c r="D30" i="19"/>
  <c r="E29" i="12" s="1"/>
  <c r="D29" i="19"/>
  <c r="D28" i="19"/>
  <c r="D27" i="19"/>
  <c r="E27" i="12" s="1"/>
  <c r="D26" i="19"/>
  <c r="D25" i="19"/>
  <c r="D24" i="19"/>
  <c r="E24" i="12" s="1"/>
  <c r="D23" i="19"/>
  <c r="G23" i="12" s="1"/>
  <c r="D22" i="19"/>
  <c r="D21" i="19"/>
  <c r="E21" i="12" s="1"/>
  <c r="D20" i="19"/>
  <c r="G20" i="12" s="1"/>
  <c r="D19" i="19"/>
  <c r="D18" i="19"/>
  <c r="E18" i="12" s="1"/>
  <c r="D17" i="19"/>
  <c r="D16" i="19"/>
  <c r="E16" i="12" s="1"/>
  <c r="D15" i="19"/>
  <c r="G15" i="12" s="1"/>
  <c r="D14" i="19"/>
  <c r="E14" i="12" s="1"/>
  <c r="D13" i="19"/>
  <c r="D12" i="19"/>
  <c r="E12" i="12" s="1"/>
  <c r="D11" i="19"/>
  <c r="D10" i="19"/>
  <c r="D9" i="19"/>
  <c r="E10" i="12" s="1"/>
  <c r="D8" i="19"/>
  <c r="D7" i="19"/>
  <c r="D6" i="19"/>
  <c r="G7" i="12" s="1"/>
  <c r="D5" i="19"/>
  <c r="E6" i="12" s="1"/>
  <c r="D4" i="19"/>
  <c r="D2" i="19"/>
  <c r="E26" i="12" l="1"/>
  <c r="G26" i="12" s="1"/>
  <c r="E17" i="12"/>
  <c r="G17" i="12" s="1"/>
  <c r="E28" i="12"/>
  <c r="G28" i="12" s="1"/>
  <c r="E31" i="12"/>
  <c r="G31" i="12" s="1"/>
  <c r="E33" i="12"/>
  <c r="G33" i="12" s="1"/>
  <c r="E19" i="12"/>
  <c r="G19" i="12" s="1"/>
  <c r="E9" i="12"/>
  <c r="G9" i="12" s="1"/>
  <c r="E11" i="12"/>
  <c r="G11" i="12" s="1"/>
  <c r="E13" i="12"/>
  <c r="G13" i="12" s="1"/>
  <c r="E36" i="12"/>
  <c r="G36" i="12" s="1"/>
  <c r="G25" i="12"/>
  <c r="J26" i="1"/>
  <c r="J2" i="1"/>
  <c r="J22" i="1"/>
  <c r="J25" i="1"/>
  <c r="J11" i="1"/>
  <c r="J14" i="1"/>
  <c r="J13" i="1"/>
  <c r="J24" i="1"/>
  <c r="J35" i="1"/>
  <c r="J34" i="1"/>
  <c r="J12" i="1"/>
  <c r="J23" i="1"/>
  <c r="J6" i="1"/>
  <c r="J33" i="1"/>
  <c r="J20" i="1"/>
  <c r="J8" i="1"/>
  <c r="J18" i="1"/>
  <c r="J29" i="1"/>
  <c r="J17" i="1"/>
  <c r="J5" i="1"/>
  <c r="J21" i="1"/>
  <c r="J32" i="1"/>
  <c r="J31" i="1"/>
  <c r="J30" i="1"/>
  <c r="J28" i="1"/>
  <c r="J16" i="1"/>
  <c r="J4" i="1"/>
  <c r="J10" i="1"/>
  <c r="J9" i="1"/>
  <c r="J19" i="1"/>
  <c r="J7" i="1"/>
  <c r="J27" i="1"/>
  <c r="J15" i="1"/>
  <c r="J3" i="1"/>
  <c r="D35" i="12" l="1"/>
  <c r="G35" i="12" s="1"/>
  <c r="D34" i="12"/>
  <c r="G34" i="12" s="1"/>
  <c r="D32" i="12"/>
  <c r="G32" i="12" s="1"/>
  <c r="D30" i="12"/>
  <c r="G30" i="12" s="1"/>
  <c r="D29" i="12"/>
  <c r="G29" i="12" s="1"/>
  <c r="D24" i="12"/>
  <c r="G24" i="12" s="1"/>
  <c r="D21" i="12"/>
  <c r="G21" i="12" s="1"/>
  <c r="D16" i="12"/>
  <c r="G16" i="12" s="1"/>
  <c r="D14" i="12"/>
  <c r="G14" i="12" s="1"/>
  <c r="D12" i="12"/>
  <c r="G12" i="12" s="1"/>
  <c r="G6" i="12"/>
  <c r="D4" i="12"/>
  <c r="G4" i="12" s="1"/>
  <c r="D3" i="12"/>
  <c r="G3" i="12" s="1"/>
  <c r="G10" i="12"/>
  <c r="G22" i="12"/>
  <c r="G18" i="12"/>
  <c r="G8" i="12"/>
  <c r="G5" i="12"/>
  <c r="G27" i="12" l="1"/>
  <c r="G1" i="12"/>
</calcChain>
</file>

<file path=xl/sharedStrings.xml><?xml version="1.0" encoding="utf-8"?>
<sst xmlns="http://schemas.openxmlformats.org/spreadsheetml/2006/main" count="511" uniqueCount="157">
  <si>
    <t>numero</t>
  </si>
  <si>
    <t>nombre</t>
  </si>
  <si>
    <t>Huerta Romero Joel</t>
  </si>
  <si>
    <t>Yehuela Romero Dilan Nery</t>
  </si>
  <si>
    <t>Tlatelpa Romero Maria Mercedes</t>
  </si>
  <si>
    <t>CUENTENCO LOPEZ URIEL</t>
  </si>
  <si>
    <t>FLORES GONZALEZ KEVIN DAVID</t>
  </si>
  <si>
    <t>MORA ACAMETITLA JULIO YAIR</t>
  </si>
  <si>
    <t>ROJAS GARCIA LEONARDO</t>
  </si>
  <si>
    <t>TEJOCOTE GARCIA  DAVID</t>
  </si>
  <si>
    <t>BELLO RAMIREZ LEONEL ALEJANDRO</t>
  </si>
  <si>
    <t>JUAREZ TEPEPA DANIEL JACINTO</t>
  </si>
  <si>
    <t>SANCHEZ CALVARIO YONI  JOSUE</t>
  </si>
  <si>
    <t>MENDEZ FLORES ANGEL GABRIEL</t>
  </si>
  <si>
    <t>REYES LARINO MAYTE</t>
  </si>
  <si>
    <t>ZEPEDA ARCE JONATHAN URIEL</t>
  </si>
  <si>
    <t>DURAN ROMERO MAURICIO</t>
  </si>
  <si>
    <t>TABA CAPILLA ZOE RONALDO</t>
  </si>
  <si>
    <t>TECHALOTZI CANTOR MIGUEL ANGEL</t>
  </si>
  <si>
    <t xml:space="preserve">SALAS MONARCA LEONEL </t>
  </si>
  <si>
    <t>GARCIA CARAZO SANTIAGO</t>
  </si>
  <si>
    <t>XIMELLO ZAMBRANO RAUL</t>
  </si>
  <si>
    <t>AMADOR AMADOR LUIS</t>
  </si>
  <si>
    <t>VAZQUEZ CARRILLO JOSE PABLO</t>
  </si>
  <si>
    <t>DIEGO AMARO BRANDON ELLIOT</t>
  </si>
  <si>
    <t>GOMEZ CASIANO CRISTHOFER</t>
  </si>
  <si>
    <t>TLAPAYA TLATELPA BRAYAN ALEXIS</t>
  </si>
  <si>
    <t>MELENDEZ MARTINEZ HUGO</t>
  </si>
  <si>
    <t>LARA CONTRERAS ARELI</t>
  </si>
  <si>
    <t>CONTRERAS GUZMAN MELANIE    C</t>
  </si>
  <si>
    <t>MENDEZ SERRANO CRISTOPHER ALFONSO</t>
  </si>
  <si>
    <t>RAMIREZ DE LOS SANTOS LETICIA</t>
  </si>
  <si>
    <t xml:space="preserve">MASTRANZO ROQUE MARASOFIA YURICO </t>
  </si>
  <si>
    <t>CORONA CALVARIO CESAR</t>
  </si>
  <si>
    <t>CALVARIO TEZMOL RODRIGO</t>
  </si>
  <si>
    <t>coyotl galindo juan pablo</t>
  </si>
  <si>
    <t>juarez marcelino monserrat</t>
  </si>
  <si>
    <t>RIZO GALLEGOS UZAI ZABDIEL</t>
  </si>
  <si>
    <t>TECHALOTZI ROJAS DAVID</t>
  </si>
  <si>
    <t>Equipo 1</t>
  </si>
  <si>
    <t>Equipo 2</t>
  </si>
  <si>
    <t>Equipo 3</t>
  </si>
  <si>
    <t>Equipo 4</t>
  </si>
  <si>
    <t>Equipo 5</t>
  </si>
  <si>
    <t>luis</t>
  </si>
  <si>
    <t>Melany</t>
  </si>
  <si>
    <t>mauricio</t>
  </si>
  <si>
    <t>Daniel</t>
  </si>
  <si>
    <t>Areli</t>
  </si>
  <si>
    <t>ronaldo</t>
  </si>
  <si>
    <t>tejocote</t>
  </si>
  <si>
    <t>hugo</t>
  </si>
  <si>
    <t>alexis</t>
  </si>
  <si>
    <t>Equipo 6</t>
  </si>
  <si>
    <t>Equipo 7</t>
  </si>
  <si>
    <t>Equipo 8</t>
  </si>
  <si>
    <t>Equipo 9</t>
  </si>
  <si>
    <t>Equipo 10</t>
  </si>
  <si>
    <t>Angel</t>
  </si>
  <si>
    <t>Monsterrat</t>
  </si>
  <si>
    <t>Dilan</t>
  </si>
  <si>
    <t>Mayte</t>
  </si>
  <si>
    <t>Maria</t>
  </si>
  <si>
    <t>Pablo</t>
  </si>
  <si>
    <t>kevin</t>
  </si>
  <si>
    <t>Julio</t>
  </si>
  <si>
    <t>Raul</t>
  </si>
  <si>
    <t>David</t>
  </si>
  <si>
    <t>conducta</t>
  </si>
  <si>
    <t>promedio</t>
  </si>
  <si>
    <t>Brandon</t>
  </si>
  <si>
    <t>corrección</t>
  </si>
  <si>
    <t>acepto</t>
  </si>
  <si>
    <t>firma</t>
  </si>
  <si>
    <t>Alexis</t>
  </si>
  <si>
    <t>final</t>
  </si>
  <si>
    <t>un insesperado nosotros</t>
  </si>
  <si>
    <t>Andrea Smith</t>
  </si>
  <si>
    <t>los hornos de hitler</t>
  </si>
  <si>
    <t>Olga Lengyel</t>
  </si>
  <si>
    <t>Nada me asusta</t>
  </si>
  <si>
    <t>Eduardo espinoza</t>
  </si>
  <si>
    <t>Yo robot</t>
  </si>
  <si>
    <t>Isaac Asimov</t>
  </si>
  <si>
    <t>Psicología Oscura</t>
  </si>
  <si>
    <t>Steven Turner</t>
  </si>
  <si>
    <t>Cunetos de Shakespeare</t>
  </si>
  <si>
    <t>Charles y -mary Lamb</t>
  </si>
  <si>
    <t>Persona normal</t>
  </si>
  <si>
    <t>Benito Taibo</t>
  </si>
  <si>
    <t>once minutos</t>
  </si>
  <si>
    <t>Paulo Cohelo</t>
  </si>
  <si>
    <t>Te escribo desde Auschwitz</t>
  </si>
  <si>
    <t>Kaaren Taieb</t>
  </si>
  <si>
    <t>El resplandor</t>
  </si>
  <si>
    <t>Stephen King</t>
  </si>
  <si>
    <t>LOVE</t>
  </si>
  <si>
    <t>ANA HUANG</t>
  </si>
  <si>
    <t>Habitos atomicos</t>
  </si>
  <si>
    <t>James Clear</t>
  </si>
  <si>
    <t>mi viaje sin ti</t>
  </si>
  <si>
    <t>Alejandro sequera</t>
  </si>
  <si>
    <t>harry potter y la piedra filosofal</t>
  </si>
  <si>
    <t>Jk Rowling</t>
  </si>
  <si>
    <t>COYOTL GALINDO JUAN PABLO</t>
  </si>
  <si>
    <t>HUERTA ROMERO JOEL</t>
  </si>
  <si>
    <t>JUAREZ MARCELINO MONTSERRAT</t>
  </si>
  <si>
    <t>TLATELPA ROMERO MARÍA MERCEDES</t>
  </si>
  <si>
    <t>YEHUELA ROMERO DILAN NERY</t>
  </si>
  <si>
    <t>la biblioteca de la media noche</t>
  </si>
  <si>
    <t>Matt Haig</t>
  </si>
  <si>
    <t>el hombre en busca del sentido</t>
  </si>
  <si>
    <t>eso</t>
  </si>
  <si>
    <t>stephen king</t>
  </si>
  <si>
    <t>ecos de la conquista</t>
  </si>
  <si>
    <t>maria kristina urritia krystina libura</t>
  </si>
  <si>
    <t>El retrato de Dorin Grey</t>
  </si>
  <si>
    <t>leo</t>
  </si>
  <si>
    <t>rodrigo</t>
  </si>
  <si>
    <t>cesar</t>
  </si>
  <si>
    <t>Yurico</t>
  </si>
  <si>
    <t>johnatan</t>
  </si>
  <si>
    <t>pablo</t>
  </si>
  <si>
    <t>lety</t>
  </si>
  <si>
    <t>Cristhofer</t>
  </si>
  <si>
    <t>Uriel</t>
  </si>
  <si>
    <t>Santiago</t>
  </si>
  <si>
    <t>Joel</t>
  </si>
  <si>
    <t xml:space="preserve">Hugo </t>
  </si>
  <si>
    <t>Miguel</t>
  </si>
  <si>
    <t>Zabdiel</t>
  </si>
  <si>
    <t>julio</t>
  </si>
  <si>
    <t>montse</t>
  </si>
  <si>
    <t>mari</t>
  </si>
  <si>
    <t>Melanie</t>
  </si>
  <si>
    <t>Equipo 11</t>
  </si>
  <si>
    <t xml:space="preserve">digital </t>
  </si>
  <si>
    <t>digital</t>
  </si>
  <si>
    <t>digital 0</t>
  </si>
  <si>
    <t xml:space="preserve">CONTRERAS GUZMAN MELANIE    </t>
  </si>
  <si>
    <t>leonel</t>
  </si>
  <si>
    <t>yoni</t>
  </si>
  <si>
    <t>Examen</t>
  </si>
  <si>
    <t>practica</t>
  </si>
  <si>
    <t>asiste</t>
  </si>
  <si>
    <t>Aire acondicionado</t>
  </si>
  <si>
    <t>faltas</t>
  </si>
  <si>
    <t>prof</t>
  </si>
  <si>
    <t>libreta</t>
  </si>
  <si>
    <t>22 de mayo</t>
  </si>
  <si>
    <t>29 de mayo</t>
  </si>
  <si>
    <t>1 de junio</t>
  </si>
  <si>
    <t>8 de junio</t>
  </si>
  <si>
    <t>id_alumno</t>
  </si>
  <si>
    <t>estado</t>
  </si>
  <si>
    <t>calificacion</t>
  </si>
  <si>
    <t>fecha_limite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</si>
</sst>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16" fontId="0" fillId="0" borderId="0" xfId="0" applyNumberFormat="1"/>
    <xf numFmtId="0" fontId="0" fillId="2" borderId="0" xfId="0" applyFill="1"/>
    <xf numFmtId="0" fontId="0" fillId="0" borderId="1" xfId="0" applyBorder="1"/>
    <xf numFmtId="0" fontId="0" fillId="0" borderId="2" xfId="0" applyBorder="1"/>
    <xf numFmtId="9" fontId="0" fillId="0" borderId="2" xfId="0" applyNumberForma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2" xfId="0" applyFont="1" applyBorder="1"/>
    <xf numFmtId="0" fontId="0" fillId="0" borderId="0" xfId="0" applyFill="1"/>
    <xf numFmtId="0" fontId="0" fillId="3" borderId="0" xfId="0" applyFill="1"/>
    <xf numFmtId="0" fontId="0" fillId="4" borderId="0" xfId="0" applyFill="1"/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/>
    <xf numFmtId="0" fontId="0" fillId="2" borderId="10" xfId="0" applyFill="1" applyBorder="1"/>
    <xf numFmtId="0" fontId="0" fillId="5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2B2B9-12BD-491A-9C83-849B038F9FA5}">
  <dimension ref="A1:M37"/>
  <sheetViews>
    <sheetView workbookViewId="0">
      <selection activeCell="M11" sqref="M11"/>
    </sheetView>
  </sheetViews>
  <sheetFormatPr baseColWidth="10" defaultRowHeight="14.4" x14ac:dyDescent="0.3"/>
  <cols>
    <col min="2" max="2" width="49.88671875" customWidth="1"/>
  </cols>
  <sheetData>
    <row r="1" spans="1:13" x14ac:dyDescent="0.3">
      <c r="A1" t="s">
        <v>0</v>
      </c>
      <c r="B1" t="s">
        <v>1</v>
      </c>
    </row>
    <row r="2" spans="1:13" x14ac:dyDescent="0.3">
      <c r="A2">
        <v>1</v>
      </c>
      <c r="B2" t="s">
        <v>22</v>
      </c>
      <c r="C2">
        <f>E3</f>
        <v>0</v>
      </c>
      <c r="D2" t="s">
        <v>39</v>
      </c>
      <c r="F2" t="s">
        <v>40</v>
      </c>
      <c r="H2" t="s">
        <v>41</v>
      </c>
      <c r="J2" t="s">
        <v>42</v>
      </c>
      <c r="L2" t="s">
        <v>43</v>
      </c>
    </row>
    <row r="3" spans="1:13" x14ac:dyDescent="0.3">
      <c r="A3">
        <v>2</v>
      </c>
      <c r="B3" t="s">
        <v>10</v>
      </c>
      <c r="C3">
        <f>G3</f>
        <v>0</v>
      </c>
      <c r="D3" s="20" t="s">
        <v>44</v>
      </c>
      <c r="F3" s="20" t="s">
        <v>117</v>
      </c>
      <c r="H3" s="20" t="s">
        <v>118</v>
      </c>
      <c r="I3">
        <v>10</v>
      </c>
      <c r="L3" s="20" t="s">
        <v>120</v>
      </c>
    </row>
    <row r="4" spans="1:13" x14ac:dyDescent="0.3">
      <c r="A4">
        <v>3</v>
      </c>
      <c r="B4" t="s">
        <v>34</v>
      </c>
      <c r="C4">
        <f>I3</f>
        <v>10</v>
      </c>
      <c r="D4" t="s">
        <v>117</v>
      </c>
      <c r="F4" s="20" t="s">
        <v>47</v>
      </c>
      <c r="H4" s="20" t="s">
        <v>119</v>
      </c>
      <c r="I4">
        <v>10</v>
      </c>
      <c r="L4" s="20" t="s">
        <v>123</v>
      </c>
    </row>
    <row r="5" spans="1:13" x14ac:dyDescent="0.3">
      <c r="A5">
        <v>4</v>
      </c>
      <c r="B5" t="s">
        <v>29</v>
      </c>
      <c r="C5">
        <f>I13</f>
        <v>0</v>
      </c>
      <c r="D5" t="s">
        <v>121</v>
      </c>
      <c r="F5" s="20" t="s">
        <v>50</v>
      </c>
      <c r="H5" s="20" t="s">
        <v>122</v>
      </c>
      <c r="I5">
        <v>10</v>
      </c>
      <c r="L5" t="s">
        <v>124</v>
      </c>
    </row>
    <row r="6" spans="1:13" x14ac:dyDescent="0.3">
      <c r="A6">
        <v>5</v>
      </c>
      <c r="B6" t="s">
        <v>33</v>
      </c>
      <c r="C6">
        <f>I4</f>
        <v>10</v>
      </c>
      <c r="D6" t="s">
        <v>63</v>
      </c>
    </row>
    <row r="7" spans="1:13" x14ac:dyDescent="0.3">
      <c r="A7">
        <v>6</v>
      </c>
      <c r="B7" t="s">
        <v>104</v>
      </c>
      <c r="C7">
        <f>I5</f>
        <v>10</v>
      </c>
      <c r="L7" t="s">
        <v>136</v>
      </c>
    </row>
    <row r="8" spans="1:13" x14ac:dyDescent="0.3">
      <c r="A8">
        <v>7</v>
      </c>
      <c r="B8" t="s">
        <v>5</v>
      </c>
      <c r="C8">
        <f>M9</f>
        <v>0</v>
      </c>
      <c r="D8" t="s">
        <v>53</v>
      </c>
      <c r="F8" t="s">
        <v>54</v>
      </c>
      <c r="H8" t="s">
        <v>55</v>
      </c>
      <c r="J8" t="s">
        <v>56</v>
      </c>
      <c r="L8" t="s">
        <v>57</v>
      </c>
    </row>
    <row r="9" spans="1:13" x14ac:dyDescent="0.3">
      <c r="A9">
        <v>8</v>
      </c>
      <c r="B9" t="s">
        <v>24</v>
      </c>
      <c r="C9">
        <f>E15</f>
        <v>0</v>
      </c>
      <c r="D9" s="20" t="s">
        <v>126</v>
      </c>
      <c r="E9" s="20">
        <v>10</v>
      </c>
      <c r="F9" t="s">
        <v>127</v>
      </c>
      <c r="H9" t="s">
        <v>48</v>
      </c>
      <c r="J9" t="s">
        <v>129</v>
      </c>
      <c r="K9">
        <v>8</v>
      </c>
      <c r="L9" t="s">
        <v>125</v>
      </c>
    </row>
    <row r="10" spans="1:13" x14ac:dyDescent="0.3">
      <c r="A10">
        <v>9</v>
      </c>
      <c r="B10" t="s">
        <v>16</v>
      </c>
      <c r="C10">
        <f>K3</f>
        <v>0</v>
      </c>
      <c r="D10" s="20" t="s">
        <v>67</v>
      </c>
      <c r="E10" s="20">
        <v>10</v>
      </c>
      <c r="F10" t="s">
        <v>60</v>
      </c>
      <c r="H10" t="s">
        <v>128</v>
      </c>
      <c r="J10" t="s">
        <v>132</v>
      </c>
      <c r="K10">
        <v>10</v>
      </c>
      <c r="L10" t="s">
        <v>64</v>
      </c>
      <c r="M10">
        <v>3.5</v>
      </c>
    </row>
    <row r="11" spans="1:13" x14ac:dyDescent="0.3">
      <c r="A11">
        <v>10</v>
      </c>
      <c r="B11" t="s">
        <v>6</v>
      </c>
      <c r="C11">
        <f>M10</f>
        <v>3.5</v>
      </c>
      <c r="D11" s="20" t="s">
        <v>130</v>
      </c>
      <c r="E11" s="20">
        <v>10</v>
      </c>
      <c r="F11" t="s">
        <v>131</v>
      </c>
      <c r="H11" t="s">
        <v>74</v>
      </c>
      <c r="J11" t="s">
        <v>61</v>
      </c>
      <c r="K11">
        <v>10</v>
      </c>
    </row>
    <row r="12" spans="1:13" x14ac:dyDescent="0.3">
      <c r="A12">
        <v>11</v>
      </c>
      <c r="B12" t="s">
        <v>20</v>
      </c>
      <c r="C12">
        <f>E9</f>
        <v>10</v>
      </c>
      <c r="D12" s="20" t="s">
        <v>66</v>
      </c>
      <c r="E12" s="20">
        <v>10</v>
      </c>
      <c r="F12" t="s">
        <v>133</v>
      </c>
      <c r="H12" t="s">
        <v>58</v>
      </c>
    </row>
    <row r="13" spans="1:13" x14ac:dyDescent="0.3">
      <c r="A13">
        <v>12</v>
      </c>
      <c r="B13" t="s">
        <v>25</v>
      </c>
      <c r="C13">
        <f>M5</f>
        <v>0</v>
      </c>
      <c r="F13" t="s">
        <v>137</v>
      </c>
      <c r="H13" t="s">
        <v>134</v>
      </c>
    </row>
    <row r="14" spans="1:13" x14ac:dyDescent="0.3">
      <c r="A14">
        <v>13</v>
      </c>
      <c r="B14" t="s">
        <v>105</v>
      </c>
      <c r="C14">
        <f>G9</f>
        <v>0</v>
      </c>
      <c r="D14" t="s">
        <v>135</v>
      </c>
      <c r="H14" t="s">
        <v>138</v>
      </c>
    </row>
    <row r="15" spans="1:13" x14ac:dyDescent="0.3">
      <c r="A15">
        <v>14</v>
      </c>
      <c r="B15" t="s">
        <v>106</v>
      </c>
      <c r="C15">
        <f>K10</f>
        <v>10</v>
      </c>
      <c r="D15" t="s">
        <v>70</v>
      </c>
      <c r="E15" s="20"/>
    </row>
    <row r="16" spans="1:13" x14ac:dyDescent="0.3">
      <c r="A16">
        <v>15</v>
      </c>
      <c r="B16" t="s">
        <v>11</v>
      </c>
      <c r="C16">
        <f>G4</f>
        <v>0</v>
      </c>
      <c r="D16" t="s">
        <v>140</v>
      </c>
    </row>
    <row r="17" spans="1:4" x14ac:dyDescent="0.3">
      <c r="A17">
        <v>16</v>
      </c>
      <c r="B17" t="s">
        <v>28</v>
      </c>
      <c r="C17">
        <f>I9</f>
        <v>0</v>
      </c>
      <c r="D17" t="s">
        <v>141</v>
      </c>
    </row>
    <row r="18" spans="1:4" x14ac:dyDescent="0.3">
      <c r="A18">
        <v>17</v>
      </c>
      <c r="B18" t="s">
        <v>32</v>
      </c>
      <c r="C18">
        <f>M3</f>
        <v>0</v>
      </c>
    </row>
    <row r="19" spans="1:4" x14ac:dyDescent="0.3">
      <c r="A19">
        <v>18</v>
      </c>
      <c r="B19" t="s">
        <v>27</v>
      </c>
      <c r="C19">
        <f>I10</f>
        <v>0</v>
      </c>
    </row>
    <row r="20" spans="1:4" s="13" customFormat="1" x14ac:dyDescent="0.3">
      <c r="A20">
        <v>19</v>
      </c>
      <c r="B20" t="s">
        <v>13</v>
      </c>
      <c r="C20">
        <f>I12</f>
        <v>0</v>
      </c>
    </row>
    <row r="21" spans="1:4" x14ac:dyDescent="0.3">
      <c r="A21">
        <v>20</v>
      </c>
      <c r="B21" t="s">
        <v>7</v>
      </c>
      <c r="C21">
        <f>G11</f>
        <v>0</v>
      </c>
    </row>
    <row r="22" spans="1:4" x14ac:dyDescent="0.3">
      <c r="A22">
        <v>21</v>
      </c>
      <c r="B22" t="s">
        <v>31</v>
      </c>
      <c r="C22">
        <f>M4</f>
        <v>0</v>
      </c>
    </row>
    <row r="23" spans="1:4" x14ac:dyDescent="0.3">
      <c r="A23">
        <v>22</v>
      </c>
      <c r="B23" t="s">
        <v>14</v>
      </c>
      <c r="C23">
        <f>K11</f>
        <v>10</v>
      </c>
    </row>
    <row r="24" spans="1:4" x14ac:dyDescent="0.3">
      <c r="A24">
        <v>23</v>
      </c>
      <c r="B24" t="s">
        <v>37</v>
      </c>
      <c r="C24">
        <f>E11</f>
        <v>10</v>
      </c>
    </row>
    <row r="25" spans="1:4" x14ac:dyDescent="0.3">
      <c r="A25">
        <v>24</v>
      </c>
      <c r="B25" t="s">
        <v>8</v>
      </c>
      <c r="C25">
        <f>E4</f>
        <v>0</v>
      </c>
    </row>
    <row r="26" spans="1:4" x14ac:dyDescent="0.3">
      <c r="A26">
        <v>25</v>
      </c>
      <c r="B26" s="2" t="s">
        <v>19</v>
      </c>
      <c r="C26">
        <f>E16</f>
        <v>0</v>
      </c>
    </row>
    <row r="27" spans="1:4" x14ac:dyDescent="0.3">
      <c r="A27">
        <v>26</v>
      </c>
      <c r="B27" t="s">
        <v>12</v>
      </c>
      <c r="C27">
        <f>E17</f>
        <v>0</v>
      </c>
    </row>
    <row r="28" spans="1:4" x14ac:dyDescent="0.3">
      <c r="A28">
        <v>27</v>
      </c>
      <c r="B28" t="s">
        <v>17</v>
      </c>
      <c r="C28">
        <f>K4</f>
        <v>0</v>
      </c>
    </row>
    <row r="29" spans="1:4" x14ac:dyDescent="0.3">
      <c r="A29">
        <v>28</v>
      </c>
      <c r="B29" t="s">
        <v>18</v>
      </c>
      <c r="C29">
        <f>K9</f>
        <v>8</v>
      </c>
    </row>
    <row r="30" spans="1:4" x14ac:dyDescent="0.3">
      <c r="A30">
        <v>29</v>
      </c>
      <c r="B30" t="s">
        <v>38</v>
      </c>
      <c r="C30">
        <f>E10</f>
        <v>10</v>
      </c>
    </row>
    <row r="31" spans="1:4" x14ac:dyDescent="0.3">
      <c r="A31">
        <v>30</v>
      </c>
      <c r="B31" t="s">
        <v>9</v>
      </c>
      <c r="C31">
        <f>G5</f>
        <v>0</v>
      </c>
    </row>
    <row r="32" spans="1:4" x14ac:dyDescent="0.3">
      <c r="A32">
        <v>31</v>
      </c>
      <c r="B32" t="s">
        <v>26</v>
      </c>
      <c r="C32">
        <f>I11</f>
        <v>0</v>
      </c>
    </row>
    <row r="33" spans="1:3" x14ac:dyDescent="0.3">
      <c r="A33">
        <v>32</v>
      </c>
      <c r="B33" t="s">
        <v>107</v>
      </c>
      <c r="C33">
        <f>G12</f>
        <v>0</v>
      </c>
    </row>
    <row r="34" spans="1:3" x14ac:dyDescent="0.3">
      <c r="A34">
        <v>33</v>
      </c>
      <c r="B34" t="s">
        <v>23</v>
      </c>
      <c r="C34">
        <f>E6</f>
        <v>0</v>
      </c>
    </row>
    <row r="35" spans="1:3" x14ac:dyDescent="0.3">
      <c r="A35">
        <v>34</v>
      </c>
      <c r="B35" t="s">
        <v>21</v>
      </c>
      <c r="C35">
        <f>E12</f>
        <v>10</v>
      </c>
    </row>
    <row r="36" spans="1:3" x14ac:dyDescent="0.3">
      <c r="A36">
        <v>35</v>
      </c>
      <c r="B36" t="s">
        <v>108</v>
      </c>
      <c r="C36">
        <f>G10</f>
        <v>0</v>
      </c>
    </row>
    <row r="37" spans="1:3" x14ac:dyDescent="0.3">
      <c r="A37">
        <v>36</v>
      </c>
      <c r="B37" t="s">
        <v>15</v>
      </c>
      <c r="C37">
        <f>E5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A834C-610A-4AA0-97DF-BFD358C85D4C}">
  <dimension ref="A1:P37"/>
  <sheetViews>
    <sheetView tabSelected="1" workbookViewId="0">
      <selection activeCell="C2" sqref="C2:C37"/>
    </sheetView>
  </sheetViews>
  <sheetFormatPr baseColWidth="10" defaultRowHeight="14.4" x14ac:dyDescent="0.3"/>
  <cols>
    <col min="2" max="2" width="49.88671875" customWidth="1"/>
    <col min="3" max="3" width="11.21875" customWidth="1"/>
    <col min="5" max="5" width="11.5546875" style="21"/>
  </cols>
  <sheetData>
    <row r="1" spans="1:16" x14ac:dyDescent="0.3">
      <c r="A1" t="s">
        <v>153</v>
      </c>
      <c r="B1" t="s">
        <v>1</v>
      </c>
      <c r="C1" t="s">
        <v>154</v>
      </c>
      <c r="D1" t="s">
        <v>155</v>
      </c>
      <c r="E1" s="21" t="s">
        <v>156</v>
      </c>
    </row>
    <row r="2" spans="1:16" x14ac:dyDescent="0.3">
      <c r="A2">
        <v>1</v>
      </c>
      <c r="B2" t="s">
        <v>22</v>
      </c>
      <c r="C2" t="str">
        <f>IF(D2&gt;0, "Entregado", "Pendiente")</f>
        <v>Pendiente</v>
      </c>
      <c r="D2">
        <f>H3</f>
        <v>0</v>
      </c>
      <c r="E2" s="21">
        <v>46270</v>
      </c>
      <c r="G2" t="s">
        <v>39</v>
      </c>
      <c r="I2" t="s">
        <v>40</v>
      </c>
      <c r="K2" t="s">
        <v>41</v>
      </c>
      <c r="O2" t="s">
        <v>43</v>
      </c>
    </row>
    <row r="3" spans="1:16" x14ac:dyDescent="0.3">
      <c r="A3">
        <v>2</v>
      </c>
      <c r="B3" t="s">
        <v>10</v>
      </c>
      <c r="C3" t="str">
        <f t="shared" ref="C3:C37" si="0">IF(D3&gt;0, "Entregado", "Pendiente")</f>
        <v>Entregado</v>
      </c>
      <c r="D3">
        <f>J3</f>
        <v>10</v>
      </c>
      <c r="E3" s="21">
        <v>46270</v>
      </c>
      <c r="G3" t="s">
        <v>44</v>
      </c>
      <c r="H3">
        <v>0</v>
      </c>
      <c r="I3" t="s">
        <v>117</v>
      </c>
      <c r="J3">
        <v>10</v>
      </c>
      <c r="K3" t="s">
        <v>118</v>
      </c>
      <c r="O3" t="s">
        <v>120</v>
      </c>
      <c r="P3">
        <v>10</v>
      </c>
    </row>
    <row r="4" spans="1:16" x14ac:dyDescent="0.3">
      <c r="A4">
        <v>3</v>
      </c>
      <c r="B4" t="s">
        <v>34</v>
      </c>
      <c r="C4" t="str">
        <f t="shared" si="0"/>
        <v>Pendiente</v>
      </c>
      <c r="D4">
        <f>L3</f>
        <v>0</v>
      </c>
      <c r="E4" s="21">
        <v>46270</v>
      </c>
      <c r="G4" t="s">
        <v>117</v>
      </c>
      <c r="I4" t="s">
        <v>47</v>
      </c>
      <c r="K4" t="s">
        <v>119</v>
      </c>
      <c r="O4" t="s">
        <v>123</v>
      </c>
    </row>
    <row r="5" spans="1:16" x14ac:dyDescent="0.3">
      <c r="A5">
        <v>4</v>
      </c>
      <c r="B5" t="s">
        <v>29</v>
      </c>
      <c r="C5" t="str">
        <f t="shared" si="0"/>
        <v>Pendiente</v>
      </c>
      <c r="D5">
        <f>L13</f>
        <v>0</v>
      </c>
      <c r="E5" s="21">
        <v>46270</v>
      </c>
      <c r="G5" t="s">
        <v>121</v>
      </c>
      <c r="H5">
        <v>10</v>
      </c>
      <c r="I5" t="s">
        <v>50</v>
      </c>
      <c r="J5">
        <v>10</v>
      </c>
      <c r="K5" t="s">
        <v>122</v>
      </c>
      <c r="O5" t="s">
        <v>124</v>
      </c>
    </row>
    <row r="6" spans="1:16" x14ac:dyDescent="0.3">
      <c r="A6">
        <v>5</v>
      </c>
      <c r="B6" t="s">
        <v>33</v>
      </c>
      <c r="C6" t="str">
        <f t="shared" si="0"/>
        <v>Pendiente</v>
      </c>
      <c r="D6">
        <f>L4</f>
        <v>0</v>
      </c>
      <c r="E6" s="21">
        <v>46270</v>
      </c>
      <c r="G6" t="s">
        <v>63</v>
      </c>
      <c r="H6">
        <v>10</v>
      </c>
    </row>
    <row r="7" spans="1:16" x14ac:dyDescent="0.3">
      <c r="A7">
        <v>6</v>
      </c>
      <c r="B7" t="s">
        <v>104</v>
      </c>
      <c r="C7" t="str">
        <f t="shared" si="0"/>
        <v>Pendiente</v>
      </c>
      <c r="D7">
        <f>L5</f>
        <v>0</v>
      </c>
      <c r="E7" s="21">
        <v>46270</v>
      </c>
      <c r="O7" t="s">
        <v>136</v>
      </c>
    </row>
    <row r="8" spans="1:16" x14ac:dyDescent="0.3">
      <c r="A8">
        <v>7</v>
      </c>
      <c r="B8" t="s">
        <v>5</v>
      </c>
      <c r="C8" t="str">
        <f t="shared" si="0"/>
        <v>Entregado</v>
      </c>
      <c r="D8">
        <f>P9</f>
        <v>10</v>
      </c>
      <c r="E8" s="21">
        <v>46270</v>
      </c>
      <c r="G8" t="s">
        <v>53</v>
      </c>
      <c r="I8" t="s">
        <v>54</v>
      </c>
      <c r="K8" t="s">
        <v>55</v>
      </c>
      <c r="M8" t="s">
        <v>56</v>
      </c>
      <c r="O8" t="s">
        <v>57</v>
      </c>
    </row>
    <row r="9" spans="1:16" x14ac:dyDescent="0.3">
      <c r="A9">
        <v>8</v>
      </c>
      <c r="B9" t="s">
        <v>24</v>
      </c>
      <c r="C9" t="str">
        <f t="shared" si="0"/>
        <v>Entregado</v>
      </c>
      <c r="D9">
        <f>H15</f>
        <v>10</v>
      </c>
      <c r="E9" s="21">
        <v>46270</v>
      </c>
      <c r="G9" t="s">
        <v>126</v>
      </c>
      <c r="H9">
        <v>10</v>
      </c>
      <c r="I9" t="s">
        <v>127</v>
      </c>
      <c r="J9">
        <v>10</v>
      </c>
      <c r="K9" t="s">
        <v>48</v>
      </c>
      <c r="L9">
        <v>10</v>
      </c>
      <c r="M9" t="s">
        <v>129</v>
      </c>
      <c r="N9">
        <v>10</v>
      </c>
      <c r="O9" t="s">
        <v>125</v>
      </c>
      <c r="P9">
        <v>10</v>
      </c>
    </row>
    <row r="10" spans="1:16" x14ac:dyDescent="0.3">
      <c r="A10">
        <v>9</v>
      </c>
      <c r="B10" t="s">
        <v>16</v>
      </c>
      <c r="C10" t="str">
        <f t="shared" si="0"/>
        <v>Pendiente</v>
      </c>
      <c r="D10">
        <f>N3</f>
        <v>0</v>
      </c>
      <c r="E10" s="21">
        <v>46270</v>
      </c>
      <c r="G10" t="s">
        <v>67</v>
      </c>
      <c r="H10">
        <v>10</v>
      </c>
      <c r="I10" t="s">
        <v>60</v>
      </c>
      <c r="J10">
        <v>10</v>
      </c>
      <c r="K10" t="s">
        <v>128</v>
      </c>
      <c r="L10">
        <v>10</v>
      </c>
      <c r="M10" t="s">
        <v>132</v>
      </c>
      <c r="O10" t="s">
        <v>64</v>
      </c>
      <c r="P10">
        <v>10</v>
      </c>
    </row>
    <row r="11" spans="1:16" x14ac:dyDescent="0.3">
      <c r="A11">
        <v>10</v>
      </c>
      <c r="B11" t="s">
        <v>6</v>
      </c>
      <c r="C11" t="str">
        <f t="shared" si="0"/>
        <v>Entregado</v>
      </c>
      <c r="D11">
        <f>P10</f>
        <v>10</v>
      </c>
      <c r="E11" s="21">
        <v>46270</v>
      </c>
      <c r="G11" t="s">
        <v>130</v>
      </c>
      <c r="H11">
        <v>10</v>
      </c>
      <c r="I11" t="s">
        <v>131</v>
      </c>
      <c r="K11" t="s">
        <v>74</v>
      </c>
      <c r="M11" t="s">
        <v>61</v>
      </c>
    </row>
    <row r="12" spans="1:16" x14ac:dyDescent="0.3">
      <c r="A12">
        <v>11</v>
      </c>
      <c r="B12" t="s">
        <v>20</v>
      </c>
      <c r="C12" t="str">
        <f t="shared" si="0"/>
        <v>Entregado</v>
      </c>
      <c r="D12">
        <f>H9</f>
        <v>10</v>
      </c>
      <c r="E12" s="21">
        <v>46270</v>
      </c>
      <c r="G12" t="s">
        <v>66</v>
      </c>
      <c r="H12">
        <v>10</v>
      </c>
      <c r="I12" t="s">
        <v>133</v>
      </c>
      <c r="K12" t="s">
        <v>58</v>
      </c>
    </row>
    <row r="13" spans="1:16" x14ac:dyDescent="0.3">
      <c r="A13">
        <v>12</v>
      </c>
      <c r="B13" t="s">
        <v>25</v>
      </c>
      <c r="C13" t="str">
        <f t="shared" si="0"/>
        <v>Pendiente</v>
      </c>
      <c r="D13">
        <f>P5</f>
        <v>0</v>
      </c>
      <c r="E13" s="21">
        <v>46270</v>
      </c>
      <c r="I13" t="s">
        <v>137</v>
      </c>
      <c r="K13" t="s">
        <v>134</v>
      </c>
    </row>
    <row r="14" spans="1:16" x14ac:dyDescent="0.3">
      <c r="A14">
        <v>13</v>
      </c>
      <c r="B14" t="s">
        <v>105</v>
      </c>
      <c r="C14" t="str">
        <f t="shared" si="0"/>
        <v>Entregado</v>
      </c>
      <c r="D14">
        <f>J9</f>
        <v>10</v>
      </c>
      <c r="E14" s="21">
        <v>46270</v>
      </c>
      <c r="G14" t="s">
        <v>135</v>
      </c>
      <c r="K14" t="s">
        <v>138</v>
      </c>
    </row>
    <row r="15" spans="1:16" x14ac:dyDescent="0.3">
      <c r="A15">
        <v>14</v>
      </c>
      <c r="B15" t="s">
        <v>106</v>
      </c>
      <c r="C15" t="str">
        <f t="shared" si="0"/>
        <v>Pendiente</v>
      </c>
      <c r="D15">
        <f>N10</f>
        <v>0</v>
      </c>
      <c r="E15" s="21">
        <v>46270</v>
      </c>
      <c r="G15" t="s">
        <v>70</v>
      </c>
      <c r="H15">
        <v>10</v>
      </c>
    </row>
    <row r="16" spans="1:16" x14ac:dyDescent="0.3">
      <c r="A16">
        <v>15</v>
      </c>
      <c r="B16" t="s">
        <v>11</v>
      </c>
      <c r="C16" t="str">
        <f t="shared" si="0"/>
        <v>Pendiente</v>
      </c>
      <c r="D16">
        <f>J4</f>
        <v>0</v>
      </c>
      <c r="E16" s="21">
        <v>46270</v>
      </c>
      <c r="G16" t="s">
        <v>140</v>
      </c>
    </row>
    <row r="17" spans="1:8" x14ac:dyDescent="0.3">
      <c r="A17">
        <v>16</v>
      </c>
      <c r="B17" t="s">
        <v>28</v>
      </c>
      <c r="C17" t="str">
        <f t="shared" si="0"/>
        <v>Entregado</v>
      </c>
      <c r="D17">
        <f>L9</f>
        <v>10</v>
      </c>
      <c r="E17" s="21">
        <v>46270</v>
      </c>
      <c r="G17" t="s">
        <v>141</v>
      </c>
      <c r="H17">
        <v>10</v>
      </c>
    </row>
    <row r="18" spans="1:8" x14ac:dyDescent="0.3">
      <c r="A18">
        <v>17</v>
      </c>
      <c r="B18" t="s">
        <v>32</v>
      </c>
      <c r="C18" t="str">
        <f t="shared" si="0"/>
        <v>Entregado</v>
      </c>
      <c r="D18">
        <f>P3</f>
        <v>10</v>
      </c>
      <c r="E18" s="21">
        <v>46270</v>
      </c>
    </row>
    <row r="19" spans="1:8" x14ac:dyDescent="0.3">
      <c r="A19">
        <v>18</v>
      </c>
      <c r="B19" t="s">
        <v>27</v>
      </c>
      <c r="C19" t="str">
        <f t="shared" si="0"/>
        <v>Entregado</v>
      </c>
      <c r="D19">
        <f>L10</f>
        <v>10</v>
      </c>
      <c r="E19" s="21">
        <v>46270</v>
      </c>
    </row>
    <row r="20" spans="1:8" s="13" customFormat="1" x14ac:dyDescent="0.3">
      <c r="A20">
        <v>19</v>
      </c>
      <c r="B20" t="s">
        <v>13</v>
      </c>
      <c r="C20" t="str">
        <f t="shared" si="0"/>
        <v>Pendiente</v>
      </c>
      <c r="D20">
        <f>L12</f>
        <v>0</v>
      </c>
      <c r="E20" s="21">
        <v>46270</v>
      </c>
      <c r="F20"/>
    </row>
    <row r="21" spans="1:8" x14ac:dyDescent="0.3">
      <c r="A21">
        <v>20</v>
      </c>
      <c r="B21" t="s">
        <v>7</v>
      </c>
      <c r="C21" t="str">
        <f t="shared" si="0"/>
        <v>Pendiente</v>
      </c>
      <c r="D21">
        <f>J11</f>
        <v>0</v>
      </c>
      <c r="E21" s="21">
        <v>46270</v>
      </c>
    </row>
    <row r="22" spans="1:8" x14ac:dyDescent="0.3">
      <c r="A22">
        <v>21</v>
      </c>
      <c r="B22" t="s">
        <v>31</v>
      </c>
      <c r="C22" t="str">
        <f t="shared" si="0"/>
        <v>Pendiente</v>
      </c>
      <c r="D22">
        <f>P4</f>
        <v>0</v>
      </c>
      <c r="E22" s="21">
        <v>46270</v>
      </c>
    </row>
    <row r="23" spans="1:8" x14ac:dyDescent="0.3">
      <c r="A23">
        <v>22</v>
      </c>
      <c r="B23" t="s">
        <v>14</v>
      </c>
      <c r="C23" t="str">
        <f t="shared" si="0"/>
        <v>Pendiente</v>
      </c>
      <c r="D23">
        <f>N11</f>
        <v>0</v>
      </c>
      <c r="E23" s="21">
        <v>46270</v>
      </c>
    </row>
    <row r="24" spans="1:8" x14ac:dyDescent="0.3">
      <c r="A24">
        <v>23</v>
      </c>
      <c r="B24" t="s">
        <v>37</v>
      </c>
      <c r="C24" t="str">
        <f t="shared" si="0"/>
        <v>Entregado</v>
      </c>
      <c r="D24">
        <f>H11</f>
        <v>10</v>
      </c>
      <c r="E24" s="21">
        <v>46270</v>
      </c>
    </row>
    <row r="25" spans="1:8" x14ac:dyDescent="0.3">
      <c r="A25">
        <v>24</v>
      </c>
      <c r="B25" t="s">
        <v>8</v>
      </c>
      <c r="C25" t="str">
        <f t="shared" si="0"/>
        <v>Pendiente</v>
      </c>
      <c r="D25">
        <f>H4</f>
        <v>0</v>
      </c>
      <c r="E25" s="21">
        <v>46270</v>
      </c>
    </row>
    <row r="26" spans="1:8" x14ac:dyDescent="0.3">
      <c r="A26">
        <v>25</v>
      </c>
      <c r="B26" s="2" t="s">
        <v>19</v>
      </c>
      <c r="C26" t="str">
        <f t="shared" si="0"/>
        <v>Pendiente</v>
      </c>
      <c r="D26">
        <f>H16</f>
        <v>0</v>
      </c>
      <c r="E26" s="21">
        <v>46270</v>
      </c>
    </row>
    <row r="27" spans="1:8" x14ac:dyDescent="0.3">
      <c r="A27">
        <v>26</v>
      </c>
      <c r="B27" t="s">
        <v>12</v>
      </c>
      <c r="C27" t="str">
        <f t="shared" si="0"/>
        <v>Entregado</v>
      </c>
      <c r="D27">
        <f>H17</f>
        <v>10</v>
      </c>
      <c r="E27" s="21">
        <v>46270</v>
      </c>
    </row>
    <row r="28" spans="1:8" x14ac:dyDescent="0.3">
      <c r="A28">
        <v>27</v>
      </c>
      <c r="B28" t="s">
        <v>17</v>
      </c>
      <c r="C28" t="str">
        <f t="shared" si="0"/>
        <v>Pendiente</v>
      </c>
      <c r="D28">
        <f>N4</f>
        <v>0</v>
      </c>
      <c r="E28" s="21">
        <v>46270</v>
      </c>
    </row>
    <row r="29" spans="1:8" x14ac:dyDescent="0.3">
      <c r="A29">
        <v>28</v>
      </c>
      <c r="B29" t="s">
        <v>18</v>
      </c>
      <c r="C29" t="str">
        <f t="shared" si="0"/>
        <v>Entregado</v>
      </c>
      <c r="D29">
        <f>N9</f>
        <v>10</v>
      </c>
      <c r="E29" s="21">
        <v>46270</v>
      </c>
    </row>
    <row r="30" spans="1:8" x14ac:dyDescent="0.3">
      <c r="A30">
        <v>29</v>
      </c>
      <c r="B30" t="s">
        <v>38</v>
      </c>
      <c r="C30" t="str">
        <f t="shared" si="0"/>
        <v>Entregado</v>
      </c>
      <c r="D30">
        <f>H10</f>
        <v>10</v>
      </c>
      <c r="E30" s="21">
        <v>46270</v>
      </c>
    </row>
    <row r="31" spans="1:8" x14ac:dyDescent="0.3">
      <c r="A31">
        <v>30</v>
      </c>
      <c r="B31" t="s">
        <v>9</v>
      </c>
      <c r="C31" t="str">
        <f t="shared" si="0"/>
        <v>Entregado</v>
      </c>
      <c r="D31">
        <f>J5</f>
        <v>10</v>
      </c>
      <c r="E31" s="21">
        <v>46270</v>
      </c>
    </row>
    <row r="32" spans="1:8" x14ac:dyDescent="0.3">
      <c r="A32">
        <v>31</v>
      </c>
      <c r="B32" t="s">
        <v>26</v>
      </c>
      <c r="C32" t="str">
        <f t="shared" si="0"/>
        <v>Pendiente</v>
      </c>
      <c r="D32">
        <f>L11</f>
        <v>0</v>
      </c>
      <c r="E32" s="21">
        <v>46270</v>
      </c>
    </row>
    <row r="33" spans="1:5" x14ac:dyDescent="0.3">
      <c r="A33">
        <v>32</v>
      </c>
      <c r="B33" t="s">
        <v>107</v>
      </c>
      <c r="C33" t="str">
        <f t="shared" si="0"/>
        <v>Pendiente</v>
      </c>
      <c r="D33">
        <f>J12</f>
        <v>0</v>
      </c>
      <c r="E33" s="21">
        <v>46270</v>
      </c>
    </row>
    <row r="34" spans="1:5" x14ac:dyDescent="0.3">
      <c r="A34">
        <v>33</v>
      </c>
      <c r="B34" t="s">
        <v>23</v>
      </c>
      <c r="C34" t="str">
        <f t="shared" si="0"/>
        <v>Entregado</v>
      </c>
      <c r="D34">
        <f>H6</f>
        <v>10</v>
      </c>
      <c r="E34" s="21">
        <v>46270</v>
      </c>
    </row>
    <row r="35" spans="1:5" x14ac:dyDescent="0.3">
      <c r="A35">
        <v>34</v>
      </c>
      <c r="B35" t="s">
        <v>21</v>
      </c>
      <c r="C35" t="str">
        <f t="shared" si="0"/>
        <v>Entregado</v>
      </c>
      <c r="D35">
        <f>H12</f>
        <v>10</v>
      </c>
      <c r="E35" s="21">
        <v>46270</v>
      </c>
    </row>
    <row r="36" spans="1:5" x14ac:dyDescent="0.3">
      <c r="A36">
        <v>35</v>
      </c>
      <c r="B36" t="s">
        <v>108</v>
      </c>
      <c r="C36" t="str">
        <f t="shared" si="0"/>
        <v>Entregado</v>
      </c>
      <c r="D36">
        <f>J10</f>
        <v>10</v>
      </c>
      <c r="E36" s="21">
        <v>46270</v>
      </c>
    </row>
    <row r="37" spans="1:5" x14ac:dyDescent="0.3">
      <c r="A37">
        <v>36</v>
      </c>
      <c r="B37" t="s">
        <v>15</v>
      </c>
      <c r="C37" t="str">
        <f t="shared" si="0"/>
        <v>Entregado</v>
      </c>
      <c r="D37">
        <f>H5</f>
        <v>10</v>
      </c>
      <c r="E37" s="21">
        <v>46270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3FEBB-084F-4B02-913F-1B211965931D}">
  <dimension ref="A1:L37"/>
  <sheetViews>
    <sheetView workbookViewId="0">
      <selection activeCell="E6" sqref="E6"/>
    </sheetView>
  </sheetViews>
  <sheetFormatPr baseColWidth="10" defaultRowHeight="14.4" x14ac:dyDescent="0.3"/>
  <cols>
    <col min="2" max="2" width="49.88671875" customWidth="1"/>
  </cols>
  <sheetData>
    <row r="1" spans="1:12" x14ac:dyDescent="0.3">
      <c r="A1" t="s">
        <v>0</v>
      </c>
      <c r="B1" t="s">
        <v>1</v>
      </c>
    </row>
    <row r="2" spans="1:12" x14ac:dyDescent="0.3">
      <c r="A2">
        <v>1</v>
      </c>
      <c r="B2" t="s">
        <v>22</v>
      </c>
      <c r="C2">
        <f>E3</f>
        <v>10</v>
      </c>
      <c r="D2" t="s">
        <v>39</v>
      </c>
      <c r="F2" t="s">
        <v>40</v>
      </c>
      <c r="H2" t="s">
        <v>41</v>
      </c>
      <c r="J2" t="s">
        <v>42</v>
      </c>
      <c r="L2" t="s">
        <v>43</v>
      </c>
    </row>
    <row r="3" spans="1:12" x14ac:dyDescent="0.3">
      <c r="A3">
        <v>2</v>
      </c>
      <c r="B3" t="s">
        <v>10</v>
      </c>
      <c r="C3">
        <f>G3</f>
        <v>10</v>
      </c>
      <c r="D3" s="20" t="s">
        <v>44</v>
      </c>
      <c r="E3">
        <v>10</v>
      </c>
      <c r="F3" s="20" t="s">
        <v>117</v>
      </c>
      <c r="G3">
        <v>10</v>
      </c>
      <c r="H3" s="20" t="s">
        <v>118</v>
      </c>
      <c r="L3" s="20" t="s">
        <v>120</v>
      </c>
    </row>
    <row r="4" spans="1:12" x14ac:dyDescent="0.3">
      <c r="A4">
        <v>3</v>
      </c>
      <c r="B4" t="s">
        <v>34</v>
      </c>
      <c r="C4">
        <f>I3</f>
        <v>0</v>
      </c>
      <c r="D4" t="s">
        <v>117</v>
      </c>
      <c r="F4" s="20" t="s">
        <v>47</v>
      </c>
      <c r="G4">
        <v>10</v>
      </c>
      <c r="H4" s="20" t="s">
        <v>119</v>
      </c>
      <c r="L4" s="20" t="s">
        <v>123</v>
      </c>
    </row>
    <row r="5" spans="1:12" x14ac:dyDescent="0.3">
      <c r="A5">
        <v>4</v>
      </c>
      <c r="B5" t="s">
        <v>29</v>
      </c>
      <c r="C5">
        <f>I13</f>
        <v>0</v>
      </c>
      <c r="D5" t="s">
        <v>121</v>
      </c>
      <c r="F5" s="20" t="s">
        <v>50</v>
      </c>
      <c r="G5">
        <v>10</v>
      </c>
      <c r="H5" s="20" t="s">
        <v>122</v>
      </c>
      <c r="L5" t="s">
        <v>124</v>
      </c>
    </row>
    <row r="6" spans="1:12" x14ac:dyDescent="0.3">
      <c r="A6">
        <v>5</v>
      </c>
      <c r="B6" t="s">
        <v>33</v>
      </c>
      <c r="C6">
        <f>I4</f>
        <v>0</v>
      </c>
      <c r="D6" t="s">
        <v>63</v>
      </c>
      <c r="E6">
        <v>10</v>
      </c>
    </row>
    <row r="7" spans="1:12" x14ac:dyDescent="0.3">
      <c r="A7">
        <v>6</v>
      </c>
      <c r="B7" t="s">
        <v>104</v>
      </c>
      <c r="C7">
        <f>I5</f>
        <v>0</v>
      </c>
      <c r="L7" t="s">
        <v>136</v>
      </c>
    </row>
    <row r="8" spans="1:12" x14ac:dyDescent="0.3">
      <c r="A8">
        <v>7</v>
      </c>
      <c r="B8" t="s">
        <v>5</v>
      </c>
      <c r="C8">
        <f>M9</f>
        <v>0</v>
      </c>
      <c r="D8" t="s">
        <v>53</v>
      </c>
      <c r="F8" t="s">
        <v>54</v>
      </c>
      <c r="H8" t="s">
        <v>55</v>
      </c>
      <c r="J8" t="s">
        <v>56</v>
      </c>
      <c r="L8" t="s">
        <v>57</v>
      </c>
    </row>
    <row r="9" spans="1:12" x14ac:dyDescent="0.3">
      <c r="A9">
        <v>8</v>
      </c>
      <c r="B9" t="s">
        <v>24</v>
      </c>
      <c r="C9">
        <f>E15</f>
        <v>0</v>
      </c>
      <c r="D9" s="20" t="s">
        <v>126</v>
      </c>
      <c r="E9" s="20">
        <v>10</v>
      </c>
      <c r="F9" t="s">
        <v>127</v>
      </c>
      <c r="G9">
        <v>10</v>
      </c>
      <c r="H9" t="s">
        <v>48</v>
      </c>
      <c r="J9" t="s">
        <v>129</v>
      </c>
      <c r="L9" t="s">
        <v>125</v>
      </c>
    </row>
    <row r="10" spans="1:12" x14ac:dyDescent="0.3">
      <c r="A10">
        <v>9</v>
      </c>
      <c r="B10" t="s">
        <v>16</v>
      </c>
      <c r="C10">
        <f>K3</f>
        <v>0</v>
      </c>
      <c r="D10" s="20" t="s">
        <v>67</v>
      </c>
      <c r="E10" s="20">
        <v>10</v>
      </c>
      <c r="F10" t="s">
        <v>60</v>
      </c>
      <c r="G10">
        <v>10</v>
      </c>
      <c r="H10" t="s">
        <v>128</v>
      </c>
      <c r="J10" t="s">
        <v>132</v>
      </c>
      <c r="L10" t="s">
        <v>64</v>
      </c>
    </row>
    <row r="11" spans="1:12" x14ac:dyDescent="0.3">
      <c r="A11">
        <v>10</v>
      </c>
      <c r="B11" t="s">
        <v>6</v>
      </c>
      <c r="C11">
        <f>M10</f>
        <v>0</v>
      </c>
      <c r="D11" s="20" t="s">
        <v>130</v>
      </c>
      <c r="E11" s="20">
        <v>10</v>
      </c>
      <c r="F11" t="s">
        <v>131</v>
      </c>
      <c r="G11">
        <v>10</v>
      </c>
      <c r="H11" t="s">
        <v>74</v>
      </c>
      <c r="J11" t="s">
        <v>61</v>
      </c>
    </row>
    <row r="12" spans="1:12" x14ac:dyDescent="0.3">
      <c r="A12">
        <v>11</v>
      </c>
      <c r="B12" t="s">
        <v>20</v>
      </c>
      <c r="C12">
        <f>E9</f>
        <v>10</v>
      </c>
      <c r="D12" s="20" t="s">
        <v>66</v>
      </c>
      <c r="E12" s="20">
        <v>10</v>
      </c>
      <c r="F12" t="s">
        <v>133</v>
      </c>
      <c r="G12">
        <v>10</v>
      </c>
      <c r="H12" t="s">
        <v>58</v>
      </c>
    </row>
    <row r="13" spans="1:12" x14ac:dyDescent="0.3">
      <c r="A13">
        <v>12</v>
      </c>
      <c r="B13" t="s">
        <v>25</v>
      </c>
      <c r="C13">
        <f>M5</f>
        <v>0</v>
      </c>
      <c r="F13" t="s">
        <v>137</v>
      </c>
      <c r="G13">
        <v>10</v>
      </c>
      <c r="H13" t="s">
        <v>134</v>
      </c>
    </row>
    <row r="14" spans="1:12" x14ac:dyDescent="0.3">
      <c r="A14">
        <v>13</v>
      </c>
      <c r="B14" t="s">
        <v>105</v>
      </c>
      <c r="C14">
        <f>G9</f>
        <v>10</v>
      </c>
      <c r="D14" t="s">
        <v>135</v>
      </c>
      <c r="H14" t="s">
        <v>138</v>
      </c>
    </row>
    <row r="15" spans="1:12" x14ac:dyDescent="0.3">
      <c r="A15">
        <v>14</v>
      </c>
      <c r="B15" t="s">
        <v>106</v>
      </c>
      <c r="C15">
        <f>K10</f>
        <v>0</v>
      </c>
      <c r="D15" t="s">
        <v>70</v>
      </c>
      <c r="E15" s="20"/>
    </row>
    <row r="16" spans="1:12" x14ac:dyDescent="0.3">
      <c r="A16">
        <v>15</v>
      </c>
      <c r="B16" t="s">
        <v>11</v>
      </c>
      <c r="C16">
        <f>G4</f>
        <v>10</v>
      </c>
      <c r="D16" t="s">
        <v>140</v>
      </c>
    </row>
    <row r="17" spans="1:4" x14ac:dyDescent="0.3">
      <c r="A17">
        <v>16</v>
      </c>
      <c r="B17" t="s">
        <v>28</v>
      </c>
      <c r="C17">
        <f>I9</f>
        <v>0</v>
      </c>
      <c r="D17" t="s">
        <v>141</v>
      </c>
    </row>
    <row r="18" spans="1:4" x14ac:dyDescent="0.3">
      <c r="A18">
        <v>17</v>
      </c>
      <c r="B18" t="s">
        <v>32</v>
      </c>
      <c r="C18">
        <f>M3</f>
        <v>0</v>
      </c>
    </row>
    <row r="19" spans="1:4" x14ac:dyDescent="0.3">
      <c r="A19">
        <v>18</v>
      </c>
      <c r="B19" t="s">
        <v>27</v>
      </c>
      <c r="C19">
        <f>I10</f>
        <v>0</v>
      </c>
    </row>
    <row r="20" spans="1:4" s="13" customFormat="1" x14ac:dyDescent="0.3">
      <c r="A20">
        <v>19</v>
      </c>
      <c r="B20" t="s">
        <v>13</v>
      </c>
      <c r="C20">
        <f>I12</f>
        <v>0</v>
      </c>
    </row>
    <row r="21" spans="1:4" x14ac:dyDescent="0.3">
      <c r="A21">
        <v>20</v>
      </c>
      <c r="B21" t="s">
        <v>7</v>
      </c>
      <c r="C21">
        <f>G11</f>
        <v>10</v>
      </c>
    </row>
    <row r="22" spans="1:4" x14ac:dyDescent="0.3">
      <c r="A22">
        <v>21</v>
      </c>
      <c r="B22" t="s">
        <v>31</v>
      </c>
      <c r="C22">
        <f>M4</f>
        <v>0</v>
      </c>
    </row>
    <row r="23" spans="1:4" x14ac:dyDescent="0.3">
      <c r="A23">
        <v>22</v>
      </c>
      <c r="B23" t="s">
        <v>14</v>
      </c>
      <c r="C23">
        <f>K11</f>
        <v>0</v>
      </c>
    </row>
    <row r="24" spans="1:4" x14ac:dyDescent="0.3">
      <c r="A24">
        <v>23</v>
      </c>
      <c r="B24" t="s">
        <v>37</v>
      </c>
      <c r="C24">
        <f>E11</f>
        <v>10</v>
      </c>
    </row>
    <row r="25" spans="1:4" x14ac:dyDescent="0.3">
      <c r="A25">
        <v>24</v>
      </c>
      <c r="B25" t="s">
        <v>8</v>
      </c>
      <c r="C25">
        <f>E4</f>
        <v>0</v>
      </c>
    </row>
    <row r="26" spans="1:4" x14ac:dyDescent="0.3">
      <c r="A26">
        <v>25</v>
      </c>
      <c r="B26" s="2" t="s">
        <v>19</v>
      </c>
      <c r="C26">
        <f>E16</f>
        <v>0</v>
      </c>
    </row>
    <row r="27" spans="1:4" x14ac:dyDescent="0.3">
      <c r="A27">
        <v>26</v>
      </c>
      <c r="B27" t="s">
        <v>12</v>
      </c>
      <c r="C27">
        <f>E17</f>
        <v>0</v>
      </c>
    </row>
    <row r="28" spans="1:4" x14ac:dyDescent="0.3">
      <c r="A28">
        <v>27</v>
      </c>
      <c r="B28" t="s">
        <v>17</v>
      </c>
      <c r="C28">
        <f>K4</f>
        <v>0</v>
      </c>
    </row>
    <row r="29" spans="1:4" x14ac:dyDescent="0.3">
      <c r="A29">
        <v>28</v>
      </c>
      <c r="B29" t="s">
        <v>18</v>
      </c>
      <c r="C29">
        <f>K9</f>
        <v>0</v>
      </c>
    </row>
    <row r="30" spans="1:4" x14ac:dyDescent="0.3">
      <c r="A30">
        <v>29</v>
      </c>
      <c r="B30" t="s">
        <v>38</v>
      </c>
      <c r="C30">
        <f>E10</f>
        <v>10</v>
      </c>
    </row>
    <row r="31" spans="1:4" x14ac:dyDescent="0.3">
      <c r="A31">
        <v>30</v>
      </c>
      <c r="B31" t="s">
        <v>9</v>
      </c>
      <c r="C31">
        <f>G5</f>
        <v>10</v>
      </c>
    </row>
    <row r="32" spans="1:4" x14ac:dyDescent="0.3">
      <c r="A32">
        <v>31</v>
      </c>
      <c r="B32" t="s">
        <v>26</v>
      </c>
      <c r="C32">
        <f>I11</f>
        <v>0</v>
      </c>
    </row>
    <row r="33" spans="1:3" x14ac:dyDescent="0.3">
      <c r="A33">
        <v>32</v>
      </c>
      <c r="B33" t="s">
        <v>107</v>
      </c>
      <c r="C33">
        <f>G12</f>
        <v>10</v>
      </c>
    </row>
    <row r="34" spans="1:3" x14ac:dyDescent="0.3">
      <c r="A34">
        <v>33</v>
      </c>
      <c r="B34" t="s">
        <v>23</v>
      </c>
      <c r="C34">
        <f>E6</f>
        <v>10</v>
      </c>
    </row>
    <row r="35" spans="1:3" x14ac:dyDescent="0.3">
      <c r="A35">
        <v>34</v>
      </c>
      <c r="B35" t="s">
        <v>21</v>
      </c>
      <c r="C35">
        <f>E12</f>
        <v>10</v>
      </c>
    </row>
    <row r="36" spans="1:3" x14ac:dyDescent="0.3">
      <c r="A36">
        <v>35</v>
      </c>
      <c r="B36" t="s">
        <v>108</v>
      </c>
      <c r="C36">
        <f>G10</f>
        <v>10</v>
      </c>
    </row>
    <row r="37" spans="1:3" x14ac:dyDescent="0.3">
      <c r="A37">
        <v>36</v>
      </c>
      <c r="B37" t="s">
        <v>15</v>
      </c>
      <c r="C37">
        <f>E5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4F16B-8176-413C-8F87-818F1F4602F8}">
  <dimension ref="A1:M37"/>
  <sheetViews>
    <sheetView topLeftCell="A6" zoomScale="85" zoomScaleNormal="85" workbookViewId="0">
      <selection activeCell="H3" sqref="H3:H36"/>
    </sheetView>
  </sheetViews>
  <sheetFormatPr baseColWidth="10" defaultRowHeight="14.4" x14ac:dyDescent="0.3"/>
  <cols>
    <col min="1" max="1" width="7.5546875" style="14" customWidth="1"/>
    <col min="2" max="2" width="38.33203125" customWidth="1"/>
    <col min="3" max="7" width="11.44140625" hidden="1" customWidth="1"/>
    <col min="8" max="8" width="5.21875" customWidth="1"/>
    <col min="9" max="9" width="9.44140625" customWidth="1"/>
    <col min="10" max="10" width="6.109375" customWidth="1"/>
    <col min="13" max="13" width="4.6640625" customWidth="1"/>
  </cols>
  <sheetData>
    <row r="1" spans="1:13" x14ac:dyDescent="0.3">
      <c r="A1" s="15"/>
      <c r="B1" s="10" t="s">
        <v>145</v>
      </c>
      <c r="C1" s="5">
        <v>0.3</v>
      </c>
      <c r="D1" s="5">
        <v>0.3</v>
      </c>
      <c r="E1" s="5">
        <v>0.3</v>
      </c>
      <c r="F1" s="5">
        <v>0.1</v>
      </c>
      <c r="G1" s="5">
        <f>SUM(C1:F1)</f>
        <v>0.99999999999999989</v>
      </c>
      <c r="H1" s="4"/>
      <c r="I1" s="4" t="s">
        <v>147</v>
      </c>
      <c r="J1" s="4"/>
      <c r="K1" s="4"/>
      <c r="L1" s="4"/>
      <c r="M1" s="6" t="s">
        <v>147</v>
      </c>
    </row>
    <row r="2" spans="1:13" x14ac:dyDescent="0.3">
      <c r="A2" s="16" t="s">
        <v>0</v>
      </c>
      <c r="B2" s="3" t="s">
        <v>1</v>
      </c>
      <c r="C2" s="3" t="s">
        <v>142</v>
      </c>
      <c r="D2" s="3" t="s">
        <v>143</v>
      </c>
      <c r="E2" s="3" t="s">
        <v>148</v>
      </c>
      <c r="F2" s="3" t="s">
        <v>68</v>
      </c>
      <c r="G2" s="3" t="s">
        <v>69</v>
      </c>
      <c r="H2" s="3" t="s">
        <v>75</v>
      </c>
      <c r="I2" s="3" t="s">
        <v>71</v>
      </c>
      <c r="J2" s="3" t="s">
        <v>146</v>
      </c>
      <c r="K2" s="3" t="s">
        <v>72</v>
      </c>
      <c r="L2" s="3" t="s">
        <v>73</v>
      </c>
      <c r="M2" s="7" t="s">
        <v>144</v>
      </c>
    </row>
    <row r="3" spans="1:13" x14ac:dyDescent="0.3">
      <c r="A3" s="14">
        <v>1</v>
      </c>
      <c r="B3" s="18" t="s">
        <v>22</v>
      </c>
      <c r="C3" s="3">
        <v>10</v>
      </c>
      <c r="D3" s="3">
        <f>MAqueta!C2</f>
        <v>10</v>
      </c>
      <c r="E3" s="3">
        <v>5</v>
      </c>
      <c r="F3" s="3">
        <v>10</v>
      </c>
      <c r="G3" s="3">
        <f>C3*$C$1+D3*$D$1+E3*$E$1+F3*$F$1</f>
        <v>8.5</v>
      </c>
      <c r="H3" s="3">
        <v>9</v>
      </c>
      <c r="I3" s="3"/>
      <c r="J3" s="3"/>
      <c r="K3" s="3"/>
      <c r="L3" s="3"/>
      <c r="M3" s="7"/>
    </row>
    <row r="4" spans="1:13" x14ac:dyDescent="0.3">
      <c r="A4" s="14">
        <v>2</v>
      </c>
      <c r="B4" s="18" t="s">
        <v>10</v>
      </c>
      <c r="C4" s="3">
        <v>6</v>
      </c>
      <c r="D4" s="3">
        <f>MAqueta!C3</f>
        <v>10</v>
      </c>
      <c r="E4" s="3">
        <f>'MAqueta manual'!D3</f>
        <v>10</v>
      </c>
      <c r="F4" s="3">
        <v>8</v>
      </c>
      <c r="G4" s="3">
        <f t="shared" ref="G4:G36" si="0">C4*$C$1+D4*$D$1+E4*$E$1+F4*$F$1</f>
        <v>8.6</v>
      </c>
      <c r="H4" s="3">
        <v>9</v>
      </c>
      <c r="I4" s="3"/>
      <c r="J4" s="3"/>
      <c r="K4" s="3"/>
      <c r="L4" s="3"/>
      <c r="M4" s="7"/>
    </row>
    <row r="5" spans="1:13" x14ac:dyDescent="0.3">
      <c r="A5" s="14">
        <v>3</v>
      </c>
      <c r="B5" s="18" t="s">
        <v>34</v>
      </c>
      <c r="C5" s="3">
        <f>examen!C4</f>
        <v>10</v>
      </c>
      <c r="D5" s="3">
        <v>4</v>
      </c>
      <c r="E5" s="3">
        <v>10</v>
      </c>
      <c r="F5" s="3">
        <v>10</v>
      </c>
      <c r="G5" s="3">
        <f t="shared" si="0"/>
        <v>8.1999999999999993</v>
      </c>
      <c r="H5" s="3">
        <v>8</v>
      </c>
      <c r="I5" s="3"/>
      <c r="J5" s="3"/>
      <c r="K5" s="3"/>
      <c r="L5" s="3"/>
      <c r="M5" s="7"/>
    </row>
    <row r="6" spans="1:13" x14ac:dyDescent="0.3">
      <c r="A6" s="14">
        <v>4</v>
      </c>
      <c r="B6" s="18" t="s">
        <v>29</v>
      </c>
      <c r="C6" s="3">
        <v>3</v>
      </c>
      <c r="D6" s="3">
        <f>MAqueta!C5</f>
        <v>0</v>
      </c>
      <c r="E6" s="3">
        <f>'MAqueta manual'!D5</f>
        <v>0</v>
      </c>
      <c r="F6" s="3">
        <v>5</v>
      </c>
      <c r="G6" s="3">
        <f t="shared" si="0"/>
        <v>1.4</v>
      </c>
      <c r="H6" s="3">
        <v>5</v>
      </c>
      <c r="I6" s="3"/>
      <c r="J6" s="3"/>
      <c r="K6" s="3"/>
      <c r="L6" s="3"/>
      <c r="M6" s="7"/>
    </row>
    <row r="7" spans="1:13" x14ac:dyDescent="0.3">
      <c r="A7" s="14">
        <v>5</v>
      </c>
      <c r="B7" s="18" t="s">
        <v>33</v>
      </c>
      <c r="C7" s="3">
        <f>examen!C6</f>
        <v>10</v>
      </c>
      <c r="D7" s="3">
        <v>4</v>
      </c>
      <c r="E7" s="3">
        <v>10</v>
      </c>
      <c r="F7" s="3">
        <v>8</v>
      </c>
      <c r="G7" s="3">
        <f t="shared" si="0"/>
        <v>8</v>
      </c>
      <c r="H7" s="3">
        <v>8</v>
      </c>
      <c r="I7" s="3"/>
      <c r="J7" s="3"/>
      <c r="K7" s="3"/>
      <c r="L7" s="3"/>
      <c r="M7" s="7"/>
    </row>
    <row r="8" spans="1:13" x14ac:dyDescent="0.3">
      <c r="A8" s="14">
        <v>6</v>
      </c>
      <c r="B8" s="18" t="s">
        <v>104</v>
      </c>
      <c r="C8" s="3">
        <f>examen!C7</f>
        <v>10</v>
      </c>
      <c r="D8" s="3">
        <v>4</v>
      </c>
      <c r="E8" s="3">
        <v>10</v>
      </c>
      <c r="F8" s="3">
        <v>8</v>
      </c>
      <c r="G8" s="3">
        <f t="shared" si="0"/>
        <v>8</v>
      </c>
      <c r="H8" s="3">
        <v>8</v>
      </c>
      <c r="I8" s="3"/>
      <c r="J8" s="3"/>
      <c r="K8" s="3"/>
      <c r="L8" s="3"/>
      <c r="M8" s="7"/>
    </row>
    <row r="9" spans="1:13" x14ac:dyDescent="0.3">
      <c r="A9" s="14">
        <v>7</v>
      </c>
      <c r="B9" s="18" t="s">
        <v>5</v>
      </c>
      <c r="C9" s="3">
        <v>10</v>
      </c>
      <c r="D9" s="3">
        <v>2</v>
      </c>
      <c r="E9" s="3">
        <f>'MAqueta manual'!D8</f>
        <v>10</v>
      </c>
      <c r="F9" s="3">
        <v>10</v>
      </c>
      <c r="G9" s="3">
        <f t="shared" si="0"/>
        <v>7.6</v>
      </c>
      <c r="H9" s="3">
        <v>8</v>
      </c>
      <c r="I9" s="3"/>
      <c r="J9" s="3"/>
      <c r="K9" s="3"/>
      <c r="L9" s="3"/>
      <c r="M9" s="7"/>
    </row>
    <row r="10" spans="1:13" x14ac:dyDescent="0.3">
      <c r="A10" s="14">
        <v>8</v>
      </c>
      <c r="B10" s="18" t="s">
        <v>24</v>
      </c>
      <c r="C10" s="3">
        <f>examen!C9</f>
        <v>0</v>
      </c>
      <c r="D10" s="3">
        <v>7</v>
      </c>
      <c r="E10" s="3">
        <f>'MAqueta manual'!D9</f>
        <v>10</v>
      </c>
      <c r="F10" s="3">
        <v>10</v>
      </c>
      <c r="G10" s="3">
        <f t="shared" si="0"/>
        <v>6.1</v>
      </c>
      <c r="H10" s="3">
        <v>6</v>
      </c>
      <c r="I10" s="3"/>
      <c r="J10" s="3"/>
      <c r="K10" s="3"/>
      <c r="L10" s="3"/>
      <c r="M10" s="7"/>
    </row>
    <row r="11" spans="1:13" x14ac:dyDescent="0.3">
      <c r="A11" s="14">
        <v>10</v>
      </c>
      <c r="B11" s="18" t="s">
        <v>6</v>
      </c>
      <c r="C11" s="3">
        <f>examen!C11</f>
        <v>3.5</v>
      </c>
      <c r="D11" s="3">
        <f>MAqueta!C11</f>
        <v>0</v>
      </c>
      <c r="E11" s="3">
        <f>'MAqueta manual'!D11</f>
        <v>10</v>
      </c>
      <c r="F11" s="3">
        <v>10</v>
      </c>
      <c r="G11" s="3">
        <f t="shared" si="0"/>
        <v>5.05</v>
      </c>
      <c r="H11" s="3">
        <v>5</v>
      </c>
      <c r="I11" s="3"/>
      <c r="J11" s="3"/>
      <c r="K11" s="3"/>
      <c r="L11" s="3"/>
      <c r="M11" s="7"/>
    </row>
    <row r="12" spans="1:13" x14ac:dyDescent="0.3">
      <c r="A12" s="14">
        <v>11</v>
      </c>
      <c r="B12" s="18" t="s">
        <v>20</v>
      </c>
      <c r="C12" s="3">
        <f>examen!C12</f>
        <v>10</v>
      </c>
      <c r="D12" s="3">
        <f>MAqueta!C12</f>
        <v>10</v>
      </c>
      <c r="E12" s="3">
        <f>'MAqueta manual'!D12</f>
        <v>10</v>
      </c>
      <c r="F12" s="3">
        <v>5</v>
      </c>
      <c r="G12" s="3">
        <f t="shared" si="0"/>
        <v>9.5</v>
      </c>
      <c r="H12" s="3">
        <v>10</v>
      </c>
      <c r="I12" s="3"/>
      <c r="J12" s="3"/>
      <c r="K12" s="3"/>
      <c r="L12" s="3"/>
      <c r="M12" s="7"/>
    </row>
    <row r="13" spans="1:13" x14ac:dyDescent="0.3">
      <c r="A13" s="14">
        <v>12</v>
      </c>
      <c r="B13" s="18" t="s">
        <v>25</v>
      </c>
      <c r="C13" s="3">
        <f>examen!C13</f>
        <v>0</v>
      </c>
      <c r="D13" s="3">
        <f>MAqueta!C13</f>
        <v>0</v>
      </c>
      <c r="E13" s="3">
        <f>'MAqueta manual'!D13</f>
        <v>0</v>
      </c>
      <c r="F13" s="3">
        <v>10</v>
      </c>
      <c r="G13" s="3">
        <f t="shared" si="0"/>
        <v>1</v>
      </c>
      <c r="H13" s="3">
        <v>5</v>
      </c>
      <c r="I13" s="3"/>
      <c r="J13" s="3"/>
      <c r="K13" s="3"/>
      <c r="L13" s="3"/>
      <c r="M13" s="7"/>
    </row>
    <row r="14" spans="1:13" x14ac:dyDescent="0.3">
      <c r="A14" s="14">
        <v>13</v>
      </c>
      <c r="B14" s="18" t="s">
        <v>105</v>
      </c>
      <c r="C14" s="3">
        <v>2</v>
      </c>
      <c r="D14" s="3">
        <f>MAqueta!C14</f>
        <v>10</v>
      </c>
      <c r="E14" s="3">
        <f>'MAqueta manual'!D14</f>
        <v>10</v>
      </c>
      <c r="F14" s="3">
        <v>10</v>
      </c>
      <c r="G14" s="3">
        <f t="shared" si="0"/>
        <v>7.6</v>
      </c>
      <c r="H14" s="3">
        <v>8</v>
      </c>
      <c r="I14" s="3"/>
      <c r="J14" s="3"/>
      <c r="K14" s="3"/>
      <c r="L14" s="3"/>
      <c r="M14" s="7"/>
    </row>
    <row r="15" spans="1:13" x14ac:dyDescent="0.3">
      <c r="A15" s="14">
        <v>14</v>
      </c>
      <c r="B15" s="18" t="s">
        <v>106</v>
      </c>
      <c r="C15" s="3">
        <f>examen!C15</f>
        <v>10</v>
      </c>
      <c r="D15" s="3">
        <v>2</v>
      </c>
      <c r="E15" s="3">
        <v>9</v>
      </c>
      <c r="F15" s="3">
        <v>10</v>
      </c>
      <c r="G15" s="3">
        <f t="shared" si="0"/>
        <v>7.3</v>
      </c>
      <c r="H15" s="3">
        <v>8</v>
      </c>
      <c r="I15" s="3"/>
      <c r="J15" s="3"/>
      <c r="K15" s="3"/>
      <c r="L15" s="3"/>
      <c r="M15" s="7"/>
    </row>
    <row r="16" spans="1:13" x14ac:dyDescent="0.3">
      <c r="A16" s="14">
        <v>15</v>
      </c>
      <c r="B16" s="18" t="s">
        <v>11</v>
      </c>
      <c r="C16" s="3">
        <f>examen!C16</f>
        <v>0</v>
      </c>
      <c r="D16" s="3">
        <f>MAqueta!C16</f>
        <v>10</v>
      </c>
      <c r="E16" s="3">
        <f>'MAqueta manual'!D16</f>
        <v>0</v>
      </c>
      <c r="F16" s="3">
        <v>10</v>
      </c>
      <c r="G16" s="3">
        <f t="shared" si="0"/>
        <v>4</v>
      </c>
      <c r="H16" s="3">
        <v>5</v>
      </c>
      <c r="I16" s="3"/>
      <c r="J16" s="3"/>
      <c r="K16" s="3"/>
      <c r="L16" s="3"/>
      <c r="M16" s="7"/>
    </row>
    <row r="17" spans="1:13" x14ac:dyDescent="0.3">
      <c r="A17" s="14">
        <v>16</v>
      </c>
      <c r="B17" s="18" t="s">
        <v>28</v>
      </c>
      <c r="C17" s="3">
        <f>examen!C17</f>
        <v>0</v>
      </c>
      <c r="D17" s="3">
        <f>MAqueta!C17</f>
        <v>0</v>
      </c>
      <c r="E17" s="3">
        <f>'MAqueta manual'!D17</f>
        <v>10</v>
      </c>
      <c r="F17" s="3">
        <v>10</v>
      </c>
      <c r="G17" s="3">
        <f t="shared" si="0"/>
        <v>4</v>
      </c>
      <c r="H17" s="3">
        <v>5</v>
      </c>
      <c r="I17" s="3"/>
      <c r="J17" s="3"/>
      <c r="K17" s="3"/>
      <c r="L17" s="3"/>
      <c r="M17" s="7"/>
    </row>
    <row r="18" spans="1:13" x14ac:dyDescent="0.3">
      <c r="A18" s="14">
        <v>17</v>
      </c>
      <c r="B18" s="18" t="s">
        <v>32</v>
      </c>
      <c r="C18" s="3">
        <v>10</v>
      </c>
      <c r="D18" s="3">
        <v>2</v>
      </c>
      <c r="E18" s="3">
        <f>'MAqueta manual'!D18</f>
        <v>10</v>
      </c>
      <c r="F18" s="3">
        <v>10</v>
      </c>
      <c r="G18" s="3">
        <f t="shared" si="0"/>
        <v>7.6</v>
      </c>
      <c r="H18" s="3">
        <v>8</v>
      </c>
      <c r="I18" s="3"/>
      <c r="J18" s="3"/>
      <c r="K18" s="3"/>
      <c r="L18" s="3"/>
      <c r="M18" s="7"/>
    </row>
    <row r="19" spans="1:13" x14ac:dyDescent="0.3">
      <c r="A19" s="14">
        <v>18</v>
      </c>
      <c r="B19" s="18" t="s">
        <v>27</v>
      </c>
      <c r="C19" s="3">
        <f>examen!C19</f>
        <v>0</v>
      </c>
      <c r="D19" s="3">
        <f>MAqueta!C19</f>
        <v>0</v>
      </c>
      <c r="E19" s="3">
        <f>'MAqueta manual'!D19</f>
        <v>10</v>
      </c>
      <c r="F19" s="3">
        <v>9</v>
      </c>
      <c r="G19" s="3">
        <f t="shared" si="0"/>
        <v>3.9</v>
      </c>
      <c r="H19" s="3">
        <v>5</v>
      </c>
      <c r="I19" s="3"/>
      <c r="J19" s="3"/>
      <c r="K19" s="3"/>
      <c r="L19" s="3"/>
      <c r="M19" s="7"/>
    </row>
    <row r="20" spans="1:13" x14ac:dyDescent="0.3">
      <c r="A20" s="14">
        <v>19</v>
      </c>
      <c r="B20" s="18" t="s">
        <v>13</v>
      </c>
      <c r="C20" s="3">
        <v>10</v>
      </c>
      <c r="D20" s="3">
        <v>2</v>
      </c>
      <c r="E20" s="3">
        <v>10</v>
      </c>
      <c r="F20" s="3">
        <v>10</v>
      </c>
      <c r="G20" s="3">
        <f t="shared" si="0"/>
        <v>7.6</v>
      </c>
      <c r="H20" s="3">
        <v>8</v>
      </c>
      <c r="I20" s="3"/>
      <c r="J20" s="3"/>
      <c r="K20" s="3"/>
      <c r="L20" s="3"/>
      <c r="M20" s="7"/>
    </row>
    <row r="21" spans="1:13" x14ac:dyDescent="0.3">
      <c r="A21" s="14">
        <v>20</v>
      </c>
      <c r="B21" s="18" t="s">
        <v>7</v>
      </c>
      <c r="C21" s="3">
        <v>4</v>
      </c>
      <c r="D21" s="3">
        <f>MAqueta!C21</f>
        <v>10</v>
      </c>
      <c r="E21" s="3">
        <f>'MAqueta manual'!D21</f>
        <v>0</v>
      </c>
      <c r="F21" s="3">
        <v>10</v>
      </c>
      <c r="G21" s="3">
        <f t="shared" si="0"/>
        <v>5.2</v>
      </c>
      <c r="H21" s="3">
        <v>5</v>
      </c>
      <c r="I21" s="3"/>
      <c r="J21" s="3"/>
      <c r="K21" s="3"/>
      <c r="L21" s="3"/>
      <c r="M21" s="7"/>
    </row>
    <row r="22" spans="1:13" x14ac:dyDescent="0.3">
      <c r="A22" s="14">
        <v>21</v>
      </c>
      <c r="B22" s="18" t="s">
        <v>31</v>
      </c>
      <c r="C22" s="3">
        <v>10</v>
      </c>
      <c r="D22" s="3">
        <v>2</v>
      </c>
      <c r="E22" s="3">
        <v>10</v>
      </c>
      <c r="F22" s="3">
        <v>10</v>
      </c>
      <c r="G22" s="3">
        <f t="shared" si="0"/>
        <v>7.6</v>
      </c>
      <c r="H22" s="3">
        <v>8</v>
      </c>
      <c r="I22" s="3"/>
      <c r="J22" s="3"/>
      <c r="K22" s="3"/>
      <c r="L22" s="3"/>
      <c r="M22" s="7"/>
    </row>
    <row r="23" spans="1:13" x14ac:dyDescent="0.3">
      <c r="A23" s="14">
        <v>22</v>
      </c>
      <c r="B23" s="18" t="s">
        <v>14</v>
      </c>
      <c r="C23" s="3">
        <f>examen!C23</f>
        <v>10</v>
      </c>
      <c r="D23" s="3">
        <v>2</v>
      </c>
      <c r="E23" s="3">
        <v>10</v>
      </c>
      <c r="F23" s="3">
        <v>10</v>
      </c>
      <c r="G23" s="3">
        <f t="shared" si="0"/>
        <v>7.6</v>
      </c>
      <c r="H23" s="3">
        <v>8</v>
      </c>
      <c r="I23" s="3"/>
      <c r="J23" s="3"/>
      <c r="K23" s="3"/>
      <c r="L23" s="3"/>
      <c r="M23" s="7"/>
    </row>
    <row r="24" spans="1:13" x14ac:dyDescent="0.3">
      <c r="A24" s="14">
        <v>23</v>
      </c>
      <c r="B24" s="18" t="s">
        <v>37</v>
      </c>
      <c r="C24" s="3">
        <f>examen!C24</f>
        <v>10</v>
      </c>
      <c r="D24" s="3">
        <f>MAqueta!C24</f>
        <v>10</v>
      </c>
      <c r="E24" s="3">
        <f>'MAqueta manual'!D24</f>
        <v>10</v>
      </c>
      <c r="F24" s="3">
        <v>10</v>
      </c>
      <c r="G24" s="3">
        <f t="shared" si="0"/>
        <v>10</v>
      </c>
      <c r="H24" s="3">
        <v>10</v>
      </c>
      <c r="I24" s="3"/>
      <c r="J24" s="3"/>
      <c r="K24" s="3"/>
      <c r="L24" s="3"/>
      <c r="M24" s="7"/>
    </row>
    <row r="25" spans="1:13" x14ac:dyDescent="0.3">
      <c r="A25" s="14">
        <v>24</v>
      </c>
      <c r="B25" s="18" t="s">
        <v>8</v>
      </c>
      <c r="C25" s="3">
        <v>10</v>
      </c>
      <c r="D25" s="3">
        <v>8</v>
      </c>
      <c r="E25" s="3">
        <v>5</v>
      </c>
      <c r="F25" s="3">
        <v>10</v>
      </c>
      <c r="G25" s="3">
        <f t="shared" si="0"/>
        <v>7.9</v>
      </c>
      <c r="H25" s="3">
        <v>8</v>
      </c>
      <c r="I25" s="3"/>
      <c r="J25" s="3"/>
      <c r="K25" s="3"/>
      <c r="L25" s="3"/>
      <c r="M25" s="7"/>
    </row>
    <row r="26" spans="1:13" x14ac:dyDescent="0.3">
      <c r="A26" s="14">
        <v>25</v>
      </c>
      <c r="B26" s="19" t="s">
        <v>19</v>
      </c>
      <c r="C26" s="3">
        <f>examen!C26</f>
        <v>0</v>
      </c>
      <c r="D26" s="3">
        <f>MAqueta!C26</f>
        <v>0</v>
      </c>
      <c r="E26" s="3">
        <f>'MAqueta manual'!D26</f>
        <v>0</v>
      </c>
      <c r="F26" s="3">
        <v>10</v>
      </c>
      <c r="G26" s="3">
        <f t="shared" si="0"/>
        <v>1</v>
      </c>
      <c r="H26" s="3">
        <v>5</v>
      </c>
      <c r="I26" s="3"/>
      <c r="J26" s="3"/>
      <c r="K26" s="3"/>
      <c r="L26" s="3"/>
      <c r="M26" s="7"/>
    </row>
    <row r="27" spans="1:13" x14ac:dyDescent="0.3">
      <c r="A27" s="14">
        <v>26</v>
      </c>
      <c r="B27" s="18" t="s">
        <v>12</v>
      </c>
      <c r="C27" s="3">
        <f>examen!C27</f>
        <v>0</v>
      </c>
      <c r="D27" s="3">
        <v>7</v>
      </c>
      <c r="E27" s="3">
        <f>'MAqueta manual'!D27</f>
        <v>10</v>
      </c>
      <c r="F27" s="3">
        <v>10</v>
      </c>
      <c r="G27" s="3">
        <f t="shared" si="0"/>
        <v>6.1</v>
      </c>
      <c r="H27" s="3">
        <v>6</v>
      </c>
      <c r="I27" s="3"/>
      <c r="J27" s="3"/>
      <c r="K27" s="3"/>
      <c r="L27" s="3"/>
      <c r="M27" s="7"/>
    </row>
    <row r="28" spans="1:13" x14ac:dyDescent="0.3">
      <c r="A28" s="14">
        <v>28</v>
      </c>
      <c r="B28" s="18" t="s">
        <v>18</v>
      </c>
      <c r="C28" s="3">
        <f>examen!C29</f>
        <v>8</v>
      </c>
      <c r="D28" s="3">
        <f>MAqueta!C29</f>
        <v>0</v>
      </c>
      <c r="E28" s="3">
        <f>'MAqueta manual'!D29</f>
        <v>10</v>
      </c>
      <c r="F28" s="3">
        <v>6</v>
      </c>
      <c r="G28" s="3">
        <f t="shared" si="0"/>
        <v>6</v>
      </c>
      <c r="H28" s="3">
        <v>6</v>
      </c>
      <c r="I28" s="3"/>
      <c r="J28" s="3"/>
      <c r="K28" s="3"/>
      <c r="L28" s="3"/>
      <c r="M28" s="7"/>
    </row>
    <row r="29" spans="1:13" x14ac:dyDescent="0.3">
      <c r="A29" s="14">
        <v>29</v>
      </c>
      <c r="B29" s="18" t="s">
        <v>38</v>
      </c>
      <c r="C29" s="3">
        <f>examen!C30</f>
        <v>10</v>
      </c>
      <c r="D29" s="3">
        <f>MAqueta!C30</f>
        <v>10</v>
      </c>
      <c r="E29" s="3">
        <f>'MAqueta manual'!D30</f>
        <v>10</v>
      </c>
      <c r="F29" s="3">
        <v>5</v>
      </c>
      <c r="G29" s="3">
        <f t="shared" si="0"/>
        <v>9.5</v>
      </c>
      <c r="H29" s="3">
        <v>10</v>
      </c>
      <c r="I29" s="3"/>
      <c r="J29" s="3"/>
      <c r="K29" s="3"/>
      <c r="L29" s="3"/>
      <c r="M29" s="7"/>
    </row>
    <row r="30" spans="1:13" x14ac:dyDescent="0.3">
      <c r="A30" s="14">
        <v>30</v>
      </c>
      <c r="B30" s="18" t="s">
        <v>9</v>
      </c>
      <c r="C30" s="3">
        <v>3.5</v>
      </c>
      <c r="D30" s="3">
        <f>MAqueta!C31</f>
        <v>10</v>
      </c>
      <c r="E30" s="3">
        <f>'MAqueta manual'!D31</f>
        <v>10</v>
      </c>
      <c r="F30" s="3">
        <v>5</v>
      </c>
      <c r="G30" s="3">
        <f t="shared" si="0"/>
        <v>7.55</v>
      </c>
      <c r="H30" s="3">
        <v>8</v>
      </c>
      <c r="I30" s="3"/>
      <c r="J30" s="3"/>
      <c r="K30" s="3"/>
      <c r="L30" s="3"/>
      <c r="M30" s="7"/>
    </row>
    <row r="31" spans="1:13" x14ac:dyDescent="0.3">
      <c r="A31" s="14">
        <v>31</v>
      </c>
      <c r="B31" s="18" t="s">
        <v>26</v>
      </c>
      <c r="C31" s="3">
        <f>examen!C32</f>
        <v>0</v>
      </c>
      <c r="D31" s="3">
        <f>MAqueta!C32</f>
        <v>0</v>
      </c>
      <c r="E31" s="3">
        <f>'MAqueta manual'!D32</f>
        <v>0</v>
      </c>
      <c r="F31" s="3">
        <v>8.5</v>
      </c>
      <c r="G31" s="3">
        <f t="shared" si="0"/>
        <v>0.85000000000000009</v>
      </c>
      <c r="H31" s="3">
        <v>5</v>
      </c>
      <c r="I31" s="3"/>
      <c r="J31" s="3"/>
      <c r="K31" s="3"/>
      <c r="L31" s="3"/>
      <c r="M31" s="7"/>
    </row>
    <row r="32" spans="1:13" x14ac:dyDescent="0.3">
      <c r="A32" s="14">
        <v>32</v>
      </c>
      <c r="B32" s="18" t="s">
        <v>107</v>
      </c>
      <c r="C32" s="3">
        <v>3</v>
      </c>
      <c r="D32" s="3">
        <f>MAqueta!C33</f>
        <v>10</v>
      </c>
      <c r="E32" s="3">
        <v>5</v>
      </c>
      <c r="F32" s="3">
        <v>8</v>
      </c>
      <c r="G32" s="3">
        <f t="shared" si="0"/>
        <v>6.2</v>
      </c>
      <c r="H32" s="3">
        <v>6</v>
      </c>
      <c r="I32" s="3"/>
      <c r="J32" s="3"/>
      <c r="K32" s="3"/>
      <c r="L32" s="3"/>
      <c r="M32" s="7"/>
    </row>
    <row r="33" spans="1:13" x14ac:dyDescent="0.3">
      <c r="A33" s="14">
        <v>33</v>
      </c>
      <c r="B33" s="18" t="s">
        <v>23</v>
      </c>
      <c r="C33" s="3">
        <v>3.5</v>
      </c>
      <c r="D33" s="3">
        <f>MAqueta!C34</f>
        <v>10</v>
      </c>
      <c r="E33" s="3">
        <f>'MAqueta manual'!D34</f>
        <v>10</v>
      </c>
      <c r="F33" s="3">
        <v>10</v>
      </c>
      <c r="G33" s="3">
        <f t="shared" si="0"/>
        <v>8.0500000000000007</v>
      </c>
      <c r="H33" s="3">
        <v>8</v>
      </c>
      <c r="I33" s="3"/>
      <c r="J33" s="3"/>
      <c r="K33" s="3"/>
      <c r="L33" s="3"/>
      <c r="M33" s="7"/>
    </row>
    <row r="34" spans="1:13" x14ac:dyDescent="0.3">
      <c r="A34" s="14">
        <v>34</v>
      </c>
      <c r="B34" s="18" t="s">
        <v>21</v>
      </c>
      <c r="C34" s="3">
        <f>examen!C35</f>
        <v>10</v>
      </c>
      <c r="D34" s="3">
        <f>MAqueta!C35</f>
        <v>10</v>
      </c>
      <c r="E34" s="3">
        <f>'MAqueta manual'!D35</f>
        <v>10</v>
      </c>
      <c r="F34" s="3">
        <v>6</v>
      </c>
      <c r="G34" s="3">
        <f t="shared" si="0"/>
        <v>9.6</v>
      </c>
      <c r="H34" s="3">
        <v>10</v>
      </c>
      <c r="I34" s="3"/>
      <c r="J34" s="3"/>
      <c r="K34" s="3"/>
      <c r="L34" s="3"/>
      <c r="M34" s="7"/>
    </row>
    <row r="35" spans="1:13" x14ac:dyDescent="0.3">
      <c r="A35" s="14">
        <v>35</v>
      </c>
      <c r="B35" s="18" t="s">
        <v>108</v>
      </c>
      <c r="C35" s="3">
        <v>2</v>
      </c>
      <c r="D35" s="3">
        <f>MAqueta!C36</f>
        <v>10</v>
      </c>
      <c r="E35" s="3">
        <f>'MAqueta manual'!D36</f>
        <v>10</v>
      </c>
      <c r="F35" s="3">
        <v>10</v>
      </c>
      <c r="G35" s="3">
        <f t="shared" si="0"/>
        <v>7.6</v>
      </c>
      <c r="H35" s="3">
        <v>8</v>
      </c>
      <c r="I35" s="3"/>
      <c r="J35" s="3"/>
      <c r="K35" s="3"/>
      <c r="L35" s="3"/>
      <c r="M35" s="7"/>
    </row>
    <row r="36" spans="1:13" x14ac:dyDescent="0.3">
      <c r="A36" s="14">
        <v>36</v>
      </c>
      <c r="B36" s="18" t="s">
        <v>15</v>
      </c>
      <c r="C36" s="3">
        <f>examen!C37</f>
        <v>0</v>
      </c>
      <c r="D36" s="3">
        <f>MAqueta!C37</f>
        <v>0</v>
      </c>
      <c r="E36" s="3">
        <f>'MAqueta manual'!D37</f>
        <v>10</v>
      </c>
      <c r="F36" s="3">
        <v>10</v>
      </c>
      <c r="G36" s="3">
        <f t="shared" si="0"/>
        <v>4</v>
      </c>
      <c r="H36" s="3">
        <v>5</v>
      </c>
      <c r="I36" s="3"/>
      <c r="J36" s="3"/>
      <c r="K36" s="3"/>
      <c r="L36" s="3"/>
      <c r="M36" s="7"/>
    </row>
    <row r="37" spans="1:13" ht="15" thickBot="1" x14ac:dyDescent="0.35">
      <c r="A37" s="17"/>
      <c r="B37" s="8"/>
      <c r="C37" s="3"/>
      <c r="D37" s="8"/>
      <c r="E37" s="8"/>
      <c r="F37" s="3"/>
      <c r="G37" s="8"/>
      <c r="H37" s="8"/>
      <c r="I37" s="8"/>
      <c r="J37" s="8"/>
      <c r="K37" s="8"/>
      <c r="L37" s="8"/>
      <c r="M37" s="9"/>
    </row>
  </sheetData>
  <pageMargins left="0.25" right="0.25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9359A-C146-43CC-97D8-35A2F59D0530}">
  <dimension ref="A1:N38"/>
  <sheetViews>
    <sheetView topLeftCell="A13" workbookViewId="0">
      <selection activeCell="B33" sqref="B33"/>
    </sheetView>
  </sheetViews>
  <sheetFormatPr baseColWidth="10" defaultRowHeight="14.4" x14ac:dyDescent="0.3"/>
  <cols>
    <col min="2" max="2" width="35.6640625" customWidth="1"/>
    <col min="3" max="4" width="35.44140625" customWidth="1"/>
    <col min="5" max="5" width="11.5546875" style="11"/>
    <col min="7" max="7" width="36" bestFit="1" customWidth="1"/>
    <col min="8" max="8" width="11.77734375" customWidth="1"/>
    <col min="9" max="9" width="18.5546875" bestFit="1" customWidth="1"/>
  </cols>
  <sheetData>
    <row r="1" spans="1:14" x14ac:dyDescent="0.3">
      <c r="A1" t="s">
        <v>0</v>
      </c>
      <c r="B1" t="s">
        <v>1</v>
      </c>
      <c r="F1" t="s">
        <v>0</v>
      </c>
      <c r="G1" t="s">
        <v>1</v>
      </c>
    </row>
    <row r="2" spans="1:14" x14ac:dyDescent="0.3">
      <c r="B2" t="s">
        <v>22</v>
      </c>
      <c r="C2" t="s">
        <v>98</v>
      </c>
      <c r="D2" t="s">
        <v>99</v>
      </c>
      <c r="F2">
        <v>1</v>
      </c>
      <c r="G2" t="s">
        <v>22</v>
      </c>
      <c r="H2" t="s">
        <v>98</v>
      </c>
      <c r="I2" t="s">
        <v>99</v>
      </c>
      <c r="K2" t="s">
        <v>42</v>
      </c>
      <c r="M2" t="s">
        <v>43</v>
      </c>
    </row>
    <row r="3" spans="1:14" x14ac:dyDescent="0.3">
      <c r="B3" t="s">
        <v>10</v>
      </c>
      <c r="F3">
        <v>2</v>
      </c>
      <c r="G3" t="s">
        <v>10</v>
      </c>
      <c r="J3">
        <v>10</v>
      </c>
      <c r="K3" s="2" t="s">
        <v>45</v>
      </c>
      <c r="L3">
        <v>0</v>
      </c>
      <c r="M3" t="s">
        <v>46</v>
      </c>
    </row>
    <row r="4" spans="1:14" x14ac:dyDescent="0.3">
      <c r="B4" t="s">
        <v>34</v>
      </c>
      <c r="C4" t="s">
        <v>78</v>
      </c>
      <c r="D4" t="s">
        <v>79</v>
      </c>
      <c r="F4">
        <v>3</v>
      </c>
      <c r="G4" t="s">
        <v>34</v>
      </c>
      <c r="H4" t="s">
        <v>78</v>
      </c>
      <c r="I4" t="s">
        <v>79</v>
      </c>
      <c r="J4">
        <v>9</v>
      </c>
      <c r="K4" t="s">
        <v>48</v>
      </c>
      <c r="L4">
        <v>8</v>
      </c>
      <c r="M4" s="2" t="s">
        <v>49</v>
      </c>
      <c r="N4">
        <v>0</v>
      </c>
    </row>
    <row r="5" spans="1:14" x14ac:dyDescent="0.3">
      <c r="B5" t="s">
        <v>139</v>
      </c>
      <c r="F5">
        <v>4</v>
      </c>
      <c r="G5" t="s">
        <v>29</v>
      </c>
      <c r="J5">
        <v>8</v>
      </c>
      <c r="K5" t="s">
        <v>51</v>
      </c>
      <c r="L5">
        <v>9</v>
      </c>
      <c r="M5" t="s">
        <v>52</v>
      </c>
      <c r="N5">
        <v>0</v>
      </c>
    </row>
    <row r="6" spans="1:14" x14ac:dyDescent="0.3">
      <c r="B6" t="s">
        <v>33</v>
      </c>
      <c r="C6" t="s">
        <v>84</v>
      </c>
      <c r="D6" t="s">
        <v>85</v>
      </c>
      <c r="F6">
        <v>5</v>
      </c>
      <c r="G6" t="s">
        <v>33</v>
      </c>
      <c r="H6" t="s">
        <v>84</v>
      </c>
      <c r="I6" t="s">
        <v>85</v>
      </c>
      <c r="J6">
        <v>9</v>
      </c>
    </row>
    <row r="7" spans="1:14" x14ac:dyDescent="0.3">
      <c r="B7" t="s">
        <v>104</v>
      </c>
      <c r="C7" t="s">
        <v>82</v>
      </c>
      <c r="D7" t="s">
        <v>83</v>
      </c>
      <c r="F7">
        <v>6</v>
      </c>
      <c r="G7" t="s">
        <v>5</v>
      </c>
      <c r="K7" t="s">
        <v>56</v>
      </c>
      <c r="M7" t="s">
        <v>57</v>
      </c>
    </row>
    <row r="8" spans="1:14" x14ac:dyDescent="0.3">
      <c r="B8" t="s">
        <v>5</v>
      </c>
      <c r="F8">
        <v>7</v>
      </c>
      <c r="G8" t="s">
        <v>24</v>
      </c>
      <c r="H8" t="s">
        <v>88</v>
      </c>
      <c r="I8" t="s">
        <v>89</v>
      </c>
      <c r="J8">
        <v>10</v>
      </c>
      <c r="K8" t="s">
        <v>58</v>
      </c>
      <c r="M8" t="s">
        <v>59</v>
      </c>
      <c r="N8">
        <v>10</v>
      </c>
    </row>
    <row r="9" spans="1:14" x14ac:dyDescent="0.3">
      <c r="B9" t="s">
        <v>24</v>
      </c>
      <c r="C9" t="s">
        <v>88</v>
      </c>
      <c r="D9" t="s">
        <v>89</v>
      </c>
      <c r="F9">
        <v>8</v>
      </c>
      <c r="G9" t="s">
        <v>16</v>
      </c>
      <c r="J9">
        <v>10</v>
      </c>
      <c r="K9" s="2" t="s">
        <v>61</v>
      </c>
      <c r="M9" s="2" t="s">
        <v>62</v>
      </c>
      <c r="N9">
        <v>10</v>
      </c>
    </row>
    <row r="10" spans="1:14" x14ac:dyDescent="0.3">
      <c r="B10" t="s">
        <v>16</v>
      </c>
      <c r="C10" s="12"/>
      <c r="F10">
        <v>9</v>
      </c>
      <c r="G10" t="s">
        <v>6</v>
      </c>
      <c r="J10">
        <v>10</v>
      </c>
      <c r="K10" t="s">
        <v>64</v>
      </c>
      <c r="M10" t="s">
        <v>65</v>
      </c>
      <c r="N10">
        <v>0</v>
      </c>
    </row>
    <row r="11" spans="1:14" x14ac:dyDescent="0.3">
      <c r="B11" t="s">
        <v>6</v>
      </c>
      <c r="F11">
        <v>10</v>
      </c>
      <c r="G11" t="s">
        <v>20</v>
      </c>
    </row>
    <row r="12" spans="1:14" x14ac:dyDescent="0.3">
      <c r="B12" t="s">
        <v>20</v>
      </c>
      <c r="C12" t="s">
        <v>114</v>
      </c>
      <c r="D12" t="s">
        <v>115</v>
      </c>
      <c r="F12">
        <v>11</v>
      </c>
      <c r="G12" t="s">
        <v>25</v>
      </c>
      <c r="H12" t="s">
        <v>96</v>
      </c>
      <c r="I12" t="s">
        <v>97</v>
      </c>
    </row>
    <row r="13" spans="1:14" x14ac:dyDescent="0.3">
      <c r="B13" t="s">
        <v>25</v>
      </c>
      <c r="C13" t="s">
        <v>96</v>
      </c>
      <c r="D13" t="s">
        <v>97</v>
      </c>
      <c r="F13">
        <v>12</v>
      </c>
      <c r="G13" t="s">
        <v>2</v>
      </c>
      <c r="H13" t="s">
        <v>92</v>
      </c>
      <c r="I13" t="s">
        <v>93</v>
      </c>
    </row>
    <row r="14" spans="1:14" x14ac:dyDescent="0.3">
      <c r="B14" t="s">
        <v>105</v>
      </c>
      <c r="C14" t="s">
        <v>92</v>
      </c>
      <c r="D14" t="s">
        <v>93</v>
      </c>
      <c r="F14">
        <v>13</v>
      </c>
      <c r="G14" t="s">
        <v>35</v>
      </c>
      <c r="H14" t="s">
        <v>82</v>
      </c>
      <c r="I14" t="s">
        <v>83</v>
      </c>
    </row>
    <row r="15" spans="1:14" x14ac:dyDescent="0.3">
      <c r="B15" t="s">
        <v>106</v>
      </c>
      <c r="C15" t="s">
        <v>102</v>
      </c>
      <c r="D15" t="s">
        <v>103</v>
      </c>
      <c r="F15">
        <v>14</v>
      </c>
      <c r="G15" t="s">
        <v>11</v>
      </c>
    </row>
    <row r="16" spans="1:14" x14ac:dyDescent="0.3">
      <c r="B16" t="s">
        <v>11</v>
      </c>
      <c r="C16" t="s">
        <v>116</v>
      </c>
      <c r="F16">
        <v>15</v>
      </c>
      <c r="G16" t="s">
        <v>28</v>
      </c>
      <c r="H16" t="s">
        <v>86</v>
      </c>
      <c r="I16" t="s">
        <v>87</v>
      </c>
    </row>
    <row r="17" spans="2:9" x14ac:dyDescent="0.3">
      <c r="B17" t="s">
        <v>28</v>
      </c>
      <c r="C17" t="s">
        <v>86</v>
      </c>
      <c r="D17" t="s">
        <v>87</v>
      </c>
      <c r="F17">
        <v>16</v>
      </c>
      <c r="G17" t="s">
        <v>32</v>
      </c>
      <c r="H17" t="s">
        <v>98</v>
      </c>
      <c r="I17" t="s">
        <v>99</v>
      </c>
    </row>
    <row r="18" spans="2:9" x14ac:dyDescent="0.3">
      <c r="B18" t="s">
        <v>32</v>
      </c>
      <c r="C18" t="s">
        <v>98</v>
      </c>
      <c r="D18" t="s">
        <v>99</v>
      </c>
      <c r="F18">
        <v>17</v>
      </c>
      <c r="G18" t="s">
        <v>27</v>
      </c>
    </row>
    <row r="19" spans="2:9" x14ac:dyDescent="0.3">
      <c r="B19" t="s">
        <v>27</v>
      </c>
      <c r="F19">
        <v>18</v>
      </c>
      <c r="G19" t="s">
        <v>13</v>
      </c>
    </row>
    <row r="20" spans="2:9" x14ac:dyDescent="0.3">
      <c r="B20" t="s">
        <v>13</v>
      </c>
      <c r="F20">
        <v>19</v>
      </c>
      <c r="G20" s="2" t="s">
        <v>30</v>
      </c>
    </row>
    <row r="21" spans="2:9" x14ac:dyDescent="0.3">
      <c r="B21" t="s">
        <v>7</v>
      </c>
      <c r="F21">
        <v>20</v>
      </c>
      <c r="G21" t="s">
        <v>36</v>
      </c>
      <c r="H21" t="s">
        <v>102</v>
      </c>
      <c r="I21" t="s">
        <v>103</v>
      </c>
    </row>
    <row r="22" spans="2:9" x14ac:dyDescent="0.3">
      <c r="B22" t="s">
        <v>31</v>
      </c>
      <c r="C22" t="s">
        <v>80</v>
      </c>
      <c r="D22" t="s">
        <v>81</v>
      </c>
      <c r="F22">
        <v>21</v>
      </c>
      <c r="G22" t="s">
        <v>7</v>
      </c>
    </row>
    <row r="23" spans="2:9" x14ac:dyDescent="0.3">
      <c r="B23" t="s">
        <v>14</v>
      </c>
      <c r="C23" t="s">
        <v>76</v>
      </c>
      <c r="D23" t="s">
        <v>77</v>
      </c>
      <c r="F23">
        <v>22</v>
      </c>
      <c r="G23" t="s">
        <v>31</v>
      </c>
      <c r="H23" t="s">
        <v>80</v>
      </c>
      <c r="I23" t="s">
        <v>81</v>
      </c>
    </row>
    <row r="24" spans="2:9" x14ac:dyDescent="0.3">
      <c r="B24" t="s">
        <v>37</v>
      </c>
      <c r="F24">
        <v>23</v>
      </c>
      <c r="G24" t="s">
        <v>14</v>
      </c>
      <c r="H24" t="s">
        <v>76</v>
      </c>
      <c r="I24" t="s">
        <v>77</v>
      </c>
    </row>
    <row r="25" spans="2:9" x14ac:dyDescent="0.3">
      <c r="B25" t="s">
        <v>8</v>
      </c>
      <c r="F25">
        <v>24</v>
      </c>
      <c r="G25" t="s">
        <v>37</v>
      </c>
    </row>
    <row r="26" spans="2:9" x14ac:dyDescent="0.3">
      <c r="B26" s="2" t="s">
        <v>19</v>
      </c>
      <c r="F26">
        <v>25</v>
      </c>
      <c r="G26" t="s">
        <v>8</v>
      </c>
    </row>
    <row r="27" spans="2:9" x14ac:dyDescent="0.3">
      <c r="B27" t="s">
        <v>12</v>
      </c>
      <c r="F27">
        <v>26</v>
      </c>
      <c r="G27" s="2" t="s">
        <v>19</v>
      </c>
    </row>
    <row r="28" spans="2:9" x14ac:dyDescent="0.3">
      <c r="B28" t="s">
        <v>17</v>
      </c>
      <c r="C28" s="12"/>
      <c r="F28">
        <v>27</v>
      </c>
      <c r="G28" t="s">
        <v>12</v>
      </c>
    </row>
    <row r="29" spans="2:9" x14ac:dyDescent="0.3">
      <c r="B29" t="s">
        <v>18</v>
      </c>
      <c r="F29">
        <v>28</v>
      </c>
      <c r="G29" t="s">
        <v>17</v>
      </c>
    </row>
    <row r="30" spans="2:9" x14ac:dyDescent="0.3">
      <c r="B30" t="s">
        <v>38</v>
      </c>
      <c r="C30" t="s">
        <v>112</v>
      </c>
      <c r="D30" t="s">
        <v>113</v>
      </c>
      <c r="F30">
        <v>29</v>
      </c>
      <c r="G30" t="s">
        <v>18</v>
      </c>
    </row>
    <row r="31" spans="2:9" x14ac:dyDescent="0.3">
      <c r="B31" t="s">
        <v>9</v>
      </c>
      <c r="C31" t="s">
        <v>109</v>
      </c>
      <c r="D31" t="s">
        <v>110</v>
      </c>
      <c r="F31">
        <v>30</v>
      </c>
      <c r="G31" t="s">
        <v>38</v>
      </c>
    </row>
    <row r="32" spans="2:9" x14ac:dyDescent="0.3">
      <c r="B32" t="s">
        <v>26</v>
      </c>
      <c r="C32" t="s">
        <v>100</v>
      </c>
      <c r="D32" t="s">
        <v>101</v>
      </c>
      <c r="F32">
        <v>31</v>
      </c>
      <c r="G32" t="s">
        <v>9</v>
      </c>
    </row>
    <row r="33" spans="2:9" x14ac:dyDescent="0.3">
      <c r="B33" t="s">
        <v>107</v>
      </c>
      <c r="C33" t="s">
        <v>90</v>
      </c>
      <c r="D33" t="s">
        <v>91</v>
      </c>
      <c r="F33">
        <v>32</v>
      </c>
      <c r="G33" t="s">
        <v>26</v>
      </c>
      <c r="H33" t="s">
        <v>100</v>
      </c>
      <c r="I33" t="s">
        <v>101</v>
      </c>
    </row>
    <row r="34" spans="2:9" x14ac:dyDescent="0.3">
      <c r="B34" t="s">
        <v>23</v>
      </c>
      <c r="F34">
        <v>33</v>
      </c>
      <c r="G34" t="s">
        <v>4</v>
      </c>
      <c r="H34" t="s">
        <v>90</v>
      </c>
      <c r="I34" t="s">
        <v>91</v>
      </c>
    </row>
    <row r="35" spans="2:9" x14ac:dyDescent="0.3">
      <c r="B35" t="s">
        <v>21</v>
      </c>
      <c r="C35" t="s">
        <v>111</v>
      </c>
      <c r="F35">
        <v>34</v>
      </c>
      <c r="G35" t="s">
        <v>23</v>
      </c>
    </row>
    <row r="36" spans="2:9" x14ac:dyDescent="0.3">
      <c r="B36" t="s">
        <v>108</v>
      </c>
      <c r="C36" t="s">
        <v>94</v>
      </c>
      <c r="D36" t="s">
        <v>95</v>
      </c>
      <c r="F36">
        <v>35</v>
      </c>
      <c r="G36" t="s">
        <v>21</v>
      </c>
    </row>
    <row r="37" spans="2:9" x14ac:dyDescent="0.3">
      <c r="B37" t="s">
        <v>15</v>
      </c>
      <c r="F37">
        <v>36</v>
      </c>
      <c r="G37" t="s">
        <v>3</v>
      </c>
      <c r="H37" t="s">
        <v>94</v>
      </c>
      <c r="I37" t="s">
        <v>95</v>
      </c>
    </row>
    <row r="38" spans="2:9" x14ac:dyDescent="0.3">
      <c r="F38">
        <v>37</v>
      </c>
      <c r="G38" t="s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78479-DEFF-4968-BF40-040D77239730}">
  <dimension ref="A1:L35"/>
  <sheetViews>
    <sheetView zoomScale="70" zoomScaleNormal="70" workbookViewId="0">
      <selection activeCell="K2" sqref="K2:K35"/>
    </sheetView>
  </sheetViews>
  <sheetFormatPr baseColWidth="10" defaultRowHeight="14.4" x14ac:dyDescent="0.3"/>
  <cols>
    <col min="2" max="2" width="49.88671875" customWidth="1"/>
  </cols>
  <sheetData>
    <row r="1" spans="1:12" x14ac:dyDescent="0.3">
      <c r="A1" t="s">
        <v>0</v>
      </c>
      <c r="B1" t="s">
        <v>1</v>
      </c>
      <c r="C1" s="1" t="s">
        <v>149</v>
      </c>
      <c r="D1" s="1" t="s">
        <v>150</v>
      </c>
      <c r="E1" s="1" t="s">
        <v>151</v>
      </c>
      <c r="F1" s="1" t="s">
        <v>152</v>
      </c>
      <c r="G1" s="1"/>
      <c r="H1" s="1"/>
      <c r="I1" s="1"/>
      <c r="J1" s="1"/>
    </row>
    <row r="2" spans="1:12" x14ac:dyDescent="0.3">
      <c r="A2">
        <v>1</v>
      </c>
      <c r="B2" t="s">
        <v>22</v>
      </c>
      <c r="C2">
        <v>2</v>
      </c>
      <c r="D2">
        <v>2</v>
      </c>
      <c r="E2">
        <v>2</v>
      </c>
      <c r="F2">
        <v>2</v>
      </c>
      <c r="J2">
        <f>K2-$L$2</f>
        <v>0</v>
      </c>
      <c r="K2">
        <f>SUM(C2:H2)</f>
        <v>8</v>
      </c>
      <c r="L2">
        <f>SUM(C22:F22)</f>
        <v>8</v>
      </c>
    </row>
    <row r="3" spans="1:12" x14ac:dyDescent="0.3">
      <c r="A3">
        <v>2</v>
      </c>
      <c r="B3" t="s">
        <v>10</v>
      </c>
      <c r="C3">
        <v>2</v>
      </c>
      <c r="D3">
        <v>0</v>
      </c>
      <c r="E3">
        <v>1</v>
      </c>
      <c r="F3">
        <v>2</v>
      </c>
      <c r="J3">
        <f t="shared" ref="J3:J35" si="0">K3-$L$2</f>
        <v>-3</v>
      </c>
      <c r="K3">
        <f t="shared" ref="K3:K35" si="1">SUM(C3:H3)</f>
        <v>5</v>
      </c>
    </row>
    <row r="4" spans="1:12" x14ac:dyDescent="0.3">
      <c r="A4">
        <v>3</v>
      </c>
      <c r="B4" t="s">
        <v>34</v>
      </c>
      <c r="D4">
        <v>2</v>
      </c>
      <c r="E4">
        <v>2</v>
      </c>
      <c r="F4">
        <v>2</v>
      </c>
      <c r="J4">
        <f t="shared" si="0"/>
        <v>-2</v>
      </c>
      <c r="K4">
        <f t="shared" si="1"/>
        <v>6</v>
      </c>
    </row>
    <row r="5" spans="1:12" x14ac:dyDescent="0.3">
      <c r="A5">
        <v>4</v>
      </c>
      <c r="B5" t="s">
        <v>29</v>
      </c>
      <c r="D5">
        <v>2</v>
      </c>
      <c r="E5">
        <v>2</v>
      </c>
      <c r="F5">
        <v>2</v>
      </c>
      <c r="J5">
        <f t="shared" si="0"/>
        <v>-2</v>
      </c>
      <c r="K5">
        <f t="shared" si="1"/>
        <v>6</v>
      </c>
    </row>
    <row r="6" spans="1:12" x14ac:dyDescent="0.3">
      <c r="A6">
        <v>5</v>
      </c>
      <c r="B6" t="s">
        <v>33</v>
      </c>
      <c r="D6">
        <v>1</v>
      </c>
      <c r="E6">
        <v>0</v>
      </c>
      <c r="F6">
        <v>2</v>
      </c>
      <c r="J6">
        <f t="shared" si="0"/>
        <v>-5</v>
      </c>
      <c r="K6">
        <f t="shared" si="1"/>
        <v>3</v>
      </c>
    </row>
    <row r="7" spans="1:12" x14ac:dyDescent="0.3">
      <c r="A7">
        <v>6</v>
      </c>
      <c r="B7" t="s">
        <v>104</v>
      </c>
      <c r="D7">
        <v>2</v>
      </c>
      <c r="E7">
        <v>2</v>
      </c>
      <c r="F7">
        <v>0</v>
      </c>
      <c r="J7">
        <f t="shared" si="0"/>
        <v>-4</v>
      </c>
      <c r="K7">
        <f t="shared" si="1"/>
        <v>4</v>
      </c>
    </row>
    <row r="8" spans="1:12" x14ac:dyDescent="0.3">
      <c r="A8">
        <v>7</v>
      </c>
      <c r="B8" t="s">
        <v>5</v>
      </c>
      <c r="C8">
        <v>2</v>
      </c>
      <c r="D8">
        <v>2</v>
      </c>
      <c r="E8">
        <v>2</v>
      </c>
      <c r="F8">
        <v>2</v>
      </c>
      <c r="J8">
        <f t="shared" si="0"/>
        <v>0</v>
      </c>
      <c r="K8">
        <f t="shared" si="1"/>
        <v>8</v>
      </c>
    </row>
    <row r="9" spans="1:12" x14ac:dyDescent="0.3">
      <c r="A9">
        <v>8</v>
      </c>
      <c r="B9" t="s">
        <v>24</v>
      </c>
      <c r="C9">
        <v>2</v>
      </c>
      <c r="D9">
        <v>2</v>
      </c>
      <c r="E9">
        <v>2</v>
      </c>
      <c r="F9">
        <v>2</v>
      </c>
      <c r="J9">
        <f t="shared" si="0"/>
        <v>0</v>
      </c>
      <c r="K9">
        <f t="shared" si="1"/>
        <v>8</v>
      </c>
    </row>
    <row r="10" spans="1:12" x14ac:dyDescent="0.3">
      <c r="A10">
        <v>9</v>
      </c>
      <c r="B10" t="s">
        <v>6</v>
      </c>
      <c r="D10">
        <v>0</v>
      </c>
      <c r="E10">
        <v>0</v>
      </c>
      <c r="F10">
        <v>2</v>
      </c>
      <c r="J10">
        <f t="shared" si="0"/>
        <v>-6</v>
      </c>
      <c r="K10">
        <f t="shared" si="1"/>
        <v>2</v>
      </c>
    </row>
    <row r="11" spans="1:12" x14ac:dyDescent="0.3">
      <c r="A11">
        <v>10</v>
      </c>
      <c r="B11" t="s">
        <v>20</v>
      </c>
      <c r="D11">
        <v>1</v>
      </c>
      <c r="E11">
        <v>1</v>
      </c>
      <c r="F11">
        <v>2</v>
      </c>
      <c r="J11">
        <f t="shared" si="0"/>
        <v>-4</v>
      </c>
      <c r="K11">
        <f t="shared" si="1"/>
        <v>4</v>
      </c>
    </row>
    <row r="12" spans="1:12" x14ac:dyDescent="0.3">
      <c r="A12">
        <v>11</v>
      </c>
      <c r="B12" t="s">
        <v>25</v>
      </c>
      <c r="D12">
        <v>0</v>
      </c>
      <c r="E12">
        <v>0</v>
      </c>
      <c r="F12">
        <v>2</v>
      </c>
      <c r="J12">
        <f t="shared" si="0"/>
        <v>-6</v>
      </c>
      <c r="K12">
        <f t="shared" si="1"/>
        <v>2</v>
      </c>
    </row>
    <row r="13" spans="1:12" x14ac:dyDescent="0.3">
      <c r="A13">
        <v>12</v>
      </c>
      <c r="B13" t="s">
        <v>105</v>
      </c>
      <c r="C13">
        <v>2</v>
      </c>
      <c r="D13">
        <v>2</v>
      </c>
      <c r="E13">
        <v>2</v>
      </c>
      <c r="F13">
        <v>2</v>
      </c>
      <c r="J13">
        <f t="shared" si="0"/>
        <v>0</v>
      </c>
      <c r="K13">
        <f t="shared" si="1"/>
        <v>8</v>
      </c>
    </row>
    <row r="14" spans="1:12" x14ac:dyDescent="0.3">
      <c r="A14">
        <v>13</v>
      </c>
      <c r="B14" t="s">
        <v>106</v>
      </c>
      <c r="C14">
        <v>2</v>
      </c>
      <c r="D14">
        <v>2</v>
      </c>
      <c r="E14">
        <v>2</v>
      </c>
      <c r="F14">
        <v>2</v>
      </c>
      <c r="J14">
        <f t="shared" si="0"/>
        <v>0</v>
      </c>
      <c r="K14">
        <f t="shared" si="1"/>
        <v>8</v>
      </c>
    </row>
    <row r="15" spans="1:12" x14ac:dyDescent="0.3">
      <c r="A15">
        <v>14</v>
      </c>
      <c r="B15" t="s">
        <v>11</v>
      </c>
      <c r="C15">
        <v>2</v>
      </c>
      <c r="D15">
        <v>1</v>
      </c>
      <c r="E15">
        <v>0</v>
      </c>
      <c r="F15">
        <v>2</v>
      </c>
      <c r="J15">
        <f t="shared" si="0"/>
        <v>-3</v>
      </c>
      <c r="K15">
        <f t="shared" si="1"/>
        <v>5</v>
      </c>
    </row>
    <row r="16" spans="1:12" x14ac:dyDescent="0.3">
      <c r="A16">
        <v>15</v>
      </c>
      <c r="B16" t="s">
        <v>28</v>
      </c>
      <c r="C16">
        <v>2</v>
      </c>
      <c r="D16">
        <v>0</v>
      </c>
      <c r="E16">
        <v>2</v>
      </c>
      <c r="F16">
        <v>2</v>
      </c>
      <c r="J16">
        <f t="shared" si="0"/>
        <v>-2</v>
      </c>
      <c r="K16">
        <f t="shared" si="1"/>
        <v>6</v>
      </c>
    </row>
    <row r="17" spans="1:11" x14ac:dyDescent="0.3">
      <c r="A17">
        <v>16</v>
      </c>
      <c r="B17" t="s">
        <v>32</v>
      </c>
      <c r="C17">
        <v>2</v>
      </c>
      <c r="D17">
        <v>2</v>
      </c>
      <c r="E17">
        <v>2</v>
      </c>
      <c r="F17">
        <v>2</v>
      </c>
      <c r="J17">
        <f t="shared" si="0"/>
        <v>0</v>
      </c>
      <c r="K17">
        <f t="shared" si="1"/>
        <v>8</v>
      </c>
    </row>
    <row r="18" spans="1:11" x14ac:dyDescent="0.3">
      <c r="A18">
        <v>17</v>
      </c>
      <c r="B18" t="s">
        <v>27</v>
      </c>
      <c r="C18">
        <v>2</v>
      </c>
      <c r="D18">
        <v>0</v>
      </c>
      <c r="E18">
        <v>2</v>
      </c>
      <c r="F18">
        <v>2</v>
      </c>
      <c r="J18">
        <f t="shared" si="0"/>
        <v>-2</v>
      </c>
      <c r="K18">
        <f t="shared" si="1"/>
        <v>6</v>
      </c>
    </row>
    <row r="19" spans="1:11" x14ac:dyDescent="0.3">
      <c r="A19">
        <v>18</v>
      </c>
      <c r="B19" t="s">
        <v>13</v>
      </c>
      <c r="C19">
        <v>2</v>
      </c>
      <c r="D19">
        <v>2</v>
      </c>
      <c r="E19">
        <v>2</v>
      </c>
      <c r="F19">
        <v>2</v>
      </c>
      <c r="J19">
        <f t="shared" si="0"/>
        <v>0</v>
      </c>
      <c r="K19">
        <f t="shared" si="1"/>
        <v>8</v>
      </c>
    </row>
    <row r="20" spans="1:11" x14ac:dyDescent="0.3">
      <c r="A20">
        <v>19</v>
      </c>
      <c r="B20" t="s">
        <v>7</v>
      </c>
      <c r="C20">
        <v>2</v>
      </c>
      <c r="D20">
        <v>2</v>
      </c>
      <c r="E20">
        <v>2</v>
      </c>
      <c r="F20">
        <v>2</v>
      </c>
      <c r="J20">
        <f t="shared" si="0"/>
        <v>0</v>
      </c>
      <c r="K20">
        <f t="shared" si="1"/>
        <v>8</v>
      </c>
    </row>
    <row r="21" spans="1:11" x14ac:dyDescent="0.3">
      <c r="A21">
        <v>20</v>
      </c>
      <c r="B21" t="s">
        <v>31</v>
      </c>
      <c r="C21">
        <v>2</v>
      </c>
      <c r="D21">
        <v>2</v>
      </c>
      <c r="E21">
        <v>2</v>
      </c>
      <c r="F21">
        <v>2</v>
      </c>
      <c r="J21">
        <f t="shared" si="0"/>
        <v>0</v>
      </c>
      <c r="K21">
        <f t="shared" si="1"/>
        <v>8</v>
      </c>
    </row>
    <row r="22" spans="1:11" x14ac:dyDescent="0.3">
      <c r="A22">
        <v>21</v>
      </c>
      <c r="B22" t="s">
        <v>14</v>
      </c>
      <c r="C22">
        <v>2</v>
      </c>
      <c r="D22">
        <v>2</v>
      </c>
      <c r="E22">
        <v>2</v>
      </c>
      <c r="F22">
        <v>2</v>
      </c>
      <c r="J22">
        <f t="shared" si="0"/>
        <v>0</v>
      </c>
      <c r="K22">
        <f t="shared" si="1"/>
        <v>8</v>
      </c>
    </row>
    <row r="23" spans="1:11" x14ac:dyDescent="0.3">
      <c r="A23">
        <v>22</v>
      </c>
      <c r="B23" t="s">
        <v>37</v>
      </c>
      <c r="C23">
        <v>2</v>
      </c>
      <c r="D23">
        <v>1</v>
      </c>
      <c r="E23">
        <v>1</v>
      </c>
      <c r="F23">
        <v>2</v>
      </c>
      <c r="J23">
        <f t="shared" si="0"/>
        <v>-2</v>
      </c>
      <c r="K23">
        <f t="shared" si="1"/>
        <v>6</v>
      </c>
    </row>
    <row r="24" spans="1:11" x14ac:dyDescent="0.3">
      <c r="A24">
        <v>23</v>
      </c>
      <c r="B24" t="s">
        <v>8</v>
      </c>
      <c r="C24">
        <v>2</v>
      </c>
      <c r="D24">
        <v>2</v>
      </c>
      <c r="E24">
        <v>2</v>
      </c>
      <c r="F24">
        <v>2</v>
      </c>
      <c r="J24">
        <f t="shared" si="0"/>
        <v>0</v>
      </c>
      <c r="K24">
        <f t="shared" si="1"/>
        <v>8</v>
      </c>
    </row>
    <row r="25" spans="1:11" x14ac:dyDescent="0.3">
      <c r="A25">
        <v>24</v>
      </c>
      <c r="B25" s="2" t="s">
        <v>19</v>
      </c>
      <c r="C25" s="2">
        <v>2</v>
      </c>
      <c r="D25" s="2">
        <v>0</v>
      </c>
      <c r="E25" s="2">
        <v>0</v>
      </c>
      <c r="F25" s="2">
        <v>0</v>
      </c>
      <c r="G25" s="2"/>
      <c r="H25" s="2"/>
      <c r="I25" s="2"/>
      <c r="J25">
        <f t="shared" si="0"/>
        <v>-6</v>
      </c>
      <c r="K25">
        <f t="shared" si="1"/>
        <v>2</v>
      </c>
    </row>
    <row r="26" spans="1:11" x14ac:dyDescent="0.3">
      <c r="A26">
        <v>25</v>
      </c>
      <c r="B26" t="s">
        <v>12</v>
      </c>
      <c r="C26">
        <v>2</v>
      </c>
      <c r="D26">
        <v>0</v>
      </c>
      <c r="E26">
        <v>2</v>
      </c>
      <c r="F26">
        <v>2</v>
      </c>
      <c r="J26">
        <f t="shared" si="0"/>
        <v>-2</v>
      </c>
      <c r="K26">
        <f t="shared" si="1"/>
        <v>6</v>
      </c>
    </row>
    <row r="27" spans="1:11" x14ac:dyDescent="0.3">
      <c r="A27">
        <v>26</v>
      </c>
      <c r="B27" t="s">
        <v>18</v>
      </c>
      <c r="D27">
        <v>1</v>
      </c>
      <c r="E27">
        <v>2</v>
      </c>
      <c r="F27">
        <v>2</v>
      </c>
      <c r="J27">
        <f t="shared" si="0"/>
        <v>-3</v>
      </c>
      <c r="K27">
        <f t="shared" si="1"/>
        <v>5</v>
      </c>
    </row>
    <row r="28" spans="1:11" x14ac:dyDescent="0.3">
      <c r="A28">
        <v>27</v>
      </c>
      <c r="B28" t="s">
        <v>38</v>
      </c>
      <c r="C28">
        <v>2</v>
      </c>
      <c r="D28">
        <v>2</v>
      </c>
      <c r="E28">
        <v>0</v>
      </c>
      <c r="F28">
        <v>2</v>
      </c>
      <c r="J28">
        <f t="shared" si="0"/>
        <v>-2</v>
      </c>
      <c r="K28">
        <f t="shared" si="1"/>
        <v>6</v>
      </c>
    </row>
    <row r="29" spans="1:11" x14ac:dyDescent="0.3">
      <c r="A29">
        <v>28</v>
      </c>
      <c r="B29" t="s">
        <v>9</v>
      </c>
      <c r="C29">
        <v>2</v>
      </c>
      <c r="D29">
        <v>2</v>
      </c>
      <c r="E29">
        <v>2</v>
      </c>
      <c r="F29">
        <v>2</v>
      </c>
      <c r="J29">
        <f t="shared" si="0"/>
        <v>0</v>
      </c>
      <c r="K29">
        <f t="shared" si="1"/>
        <v>8</v>
      </c>
    </row>
    <row r="30" spans="1:11" x14ac:dyDescent="0.3">
      <c r="A30">
        <v>29</v>
      </c>
      <c r="B30" t="s">
        <v>26</v>
      </c>
      <c r="D30">
        <v>2</v>
      </c>
      <c r="E30">
        <v>0</v>
      </c>
      <c r="F30">
        <v>2</v>
      </c>
      <c r="J30">
        <f t="shared" si="0"/>
        <v>-4</v>
      </c>
      <c r="K30">
        <f t="shared" si="1"/>
        <v>4</v>
      </c>
    </row>
    <row r="31" spans="1:11" x14ac:dyDescent="0.3">
      <c r="A31">
        <v>30</v>
      </c>
      <c r="B31" t="s">
        <v>107</v>
      </c>
      <c r="C31">
        <v>2</v>
      </c>
      <c r="D31">
        <v>2</v>
      </c>
      <c r="E31">
        <v>0</v>
      </c>
      <c r="F31">
        <v>2</v>
      </c>
      <c r="J31">
        <f t="shared" si="0"/>
        <v>-2</v>
      </c>
      <c r="K31">
        <f t="shared" si="1"/>
        <v>6</v>
      </c>
    </row>
    <row r="32" spans="1:11" x14ac:dyDescent="0.3">
      <c r="A32">
        <v>31</v>
      </c>
      <c r="B32" t="s">
        <v>23</v>
      </c>
      <c r="C32">
        <v>2</v>
      </c>
      <c r="D32">
        <v>2</v>
      </c>
      <c r="E32">
        <v>2</v>
      </c>
      <c r="F32">
        <v>2</v>
      </c>
      <c r="J32">
        <f t="shared" si="0"/>
        <v>0</v>
      </c>
      <c r="K32">
        <f t="shared" si="1"/>
        <v>8</v>
      </c>
    </row>
    <row r="33" spans="1:11" x14ac:dyDescent="0.3">
      <c r="A33">
        <v>32</v>
      </c>
      <c r="B33" t="s">
        <v>21</v>
      </c>
      <c r="C33">
        <v>2</v>
      </c>
      <c r="D33">
        <v>1</v>
      </c>
      <c r="E33">
        <v>1</v>
      </c>
      <c r="F33">
        <v>2</v>
      </c>
      <c r="J33">
        <f t="shared" si="0"/>
        <v>-2</v>
      </c>
      <c r="K33">
        <f t="shared" si="1"/>
        <v>6</v>
      </c>
    </row>
    <row r="34" spans="1:11" x14ac:dyDescent="0.3">
      <c r="A34">
        <v>33</v>
      </c>
      <c r="B34" t="s">
        <v>108</v>
      </c>
      <c r="C34">
        <v>2</v>
      </c>
      <c r="D34">
        <v>2</v>
      </c>
      <c r="E34">
        <v>2</v>
      </c>
      <c r="F34">
        <v>2</v>
      </c>
      <c r="J34">
        <f t="shared" si="0"/>
        <v>0</v>
      </c>
      <c r="K34">
        <f t="shared" si="1"/>
        <v>8</v>
      </c>
    </row>
    <row r="35" spans="1:11" x14ac:dyDescent="0.3">
      <c r="A35">
        <v>34</v>
      </c>
      <c r="B35" t="s">
        <v>15</v>
      </c>
      <c r="C35">
        <v>2</v>
      </c>
      <c r="D35">
        <v>2</v>
      </c>
      <c r="E35">
        <v>2</v>
      </c>
      <c r="F35">
        <v>2</v>
      </c>
      <c r="J35">
        <f t="shared" si="0"/>
        <v>0</v>
      </c>
      <c r="K35">
        <f t="shared" si="1"/>
        <v>8</v>
      </c>
    </row>
  </sheetData>
  <sortState xmlns:xlrd2="http://schemas.microsoft.com/office/spreadsheetml/2017/richdata2" ref="A2:H35">
    <sortCondition ref="B2:B3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examen</vt:lpstr>
      <vt:lpstr>MAqueta manual</vt:lpstr>
      <vt:lpstr>MAqueta</vt:lpstr>
      <vt:lpstr>evaluacion</vt:lpstr>
      <vt:lpstr>libro</vt:lpstr>
      <vt:lpstr>lista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Ludwing Iturbe Ortiz</cp:lastModifiedBy>
  <cp:lastPrinted>2026-03-19T15:53:28Z</cp:lastPrinted>
  <dcterms:created xsi:type="dcterms:W3CDTF">2025-09-08T23:23:36Z</dcterms:created>
  <dcterms:modified xsi:type="dcterms:W3CDTF">2026-08-29T05:24:31Z</dcterms:modified>
</cp:coreProperties>
</file>